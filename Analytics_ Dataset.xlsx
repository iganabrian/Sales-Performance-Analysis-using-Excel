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brian\OneDrive\Desktop\Excel Sales Dashboard Electronics\"/>
    </mc:Choice>
  </mc:AlternateContent>
  <xr:revisionPtr revIDLastSave="0" documentId="13_ncr:1_{0F73E4C9-2F42-4F58-B4F6-6CAEF8B50F2F}" xr6:coauthVersionLast="47" xr6:coauthVersionMax="47" xr10:uidLastSave="{00000000-0000-0000-0000-000000000000}"/>
  <bookViews>
    <workbookView xWindow="28680" yWindow="-120" windowWidth="29040" windowHeight="15720" activeTab="2" xr2:uid="{00000000-000D-0000-FFFF-FFFF00000000}"/>
  </bookViews>
  <sheets>
    <sheet name="Data" sheetId="1" r:id="rId1"/>
    <sheet name="Calculations" sheetId="3" r:id="rId2"/>
    <sheet name="Dashboard" sheetId="4" r:id="rId3"/>
  </sheets>
  <definedNames>
    <definedName name="_xlnm.Print_Area" localSheetId="2">Dashboard!$A$1:$AJ$43</definedName>
    <definedName name="Slicer_Category">#N/A</definedName>
  </definedNames>
  <calcPr calcId="191029"/>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3" l="1"/>
  <c r="D5" i="3"/>
  <c r="E13" i="1" l="1"/>
  <c r="E6" i="1"/>
  <c r="E7" i="1"/>
  <c r="E8" i="1"/>
  <c r="E9" i="1"/>
  <c r="E10" i="1"/>
  <c r="E11" i="1"/>
  <c r="E12"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D16" i="3"/>
  <c r="D15" i="3"/>
  <c r="D14" i="3"/>
  <c r="D13" i="3"/>
  <c r="E14" i="3"/>
  <c r="E16" i="3"/>
  <c r="E15" i="3"/>
  <c r="E13" i="3"/>
  <c r="F13" i="3" l="1"/>
  <c r="G13" i="3" s="1"/>
  <c r="F14" i="3"/>
  <c r="G14" i="3" s="1"/>
  <c r="F15" i="3"/>
  <c r="G15" i="3" s="1"/>
  <c r="F16" i="3"/>
  <c r="G16" i="3" s="1"/>
</calcChain>
</file>

<file path=xl/sharedStrings.xml><?xml version="1.0" encoding="utf-8"?>
<sst xmlns="http://schemas.openxmlformats.org/spreadsheetml/2006/main" count="1313" uniqueCount="355">
  <si>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</si>
  <si>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</si>
  <si>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</si>
  <si>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</si>
  <si>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</si>
  <si>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</si>
  <si>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</si>
  <si>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</si>
  <si>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</si>
  <si>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</si>
  <si>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</si>
  <si>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</si>
  <si>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</si>
  <si>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</si>
  <si>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</si>
  <si>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</si>
  <si>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</si>
  <si>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</si>
  <si>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</si>
  <si>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</si>
  <si>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</si>
  <si>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</si>
  <si>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</si>
  <si>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</si>
  <si>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</si>
  <si>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</si>
  <si>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</si>
  <si>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</si>
  <si>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</si>
  <si>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</si>
  <si>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</si>
  <si>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</si>
  <si>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</si>
  <si>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</si>
  <si>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</si>
  <si>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</si>
  <si>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</si>
  <si>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</si>
  <si>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</si>
  <si>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</si>
  <si>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</si>
  <si>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</si>
  <si>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</si>
  <si>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</si>
  <si>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</si>
  <si>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</si>
  <si>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</si>
  <si>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</si>
  <si>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</si>
  <si>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</si>
  <si>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</si>
  <si>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</si>
  <si>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</si>
  <si>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</si>
  <si>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</si>
  <si>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</si>
  <si>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</si>
  <si>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</si>
  <si>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</si>
  <si>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</si>
  <si>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</si>
  <si>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</si>
  <si>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</si>
  <si>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</si>
  <si>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</si>
  <si>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</si>
  <si>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</si>
  <si>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</si>
  <si>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</si>
  <si>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</si>
  <si>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</si>
  <si>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</si>
  <si>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</si>
  <si>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</si>
  <si>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</si>
  <si>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</si>
  <si>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</si>
  <si>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</si>
  <si>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</si>
  <si>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</si>
  <si>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</si>
  <si>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</si>
  <si>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</si>
  <si>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</si>
  <si>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</si>
  <si>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</si>
  <si>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</si>
  <si>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</si>
  <si>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</si>
  <si>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</si>
  <si>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</si>
  <si>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</si>
  <si>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</si>
  <si>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</si>
  <si>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</si>
  <si>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</si>
  <si>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</si>
  <si>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</si>
  <si>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</si>
  <si>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</si>
  <si>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</si>
  <si>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</si>
  <si>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</si>
  <si>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</si>
  <si>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</si>
  <si>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</si>
  <si>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</si>
  <si>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</si>
  <si>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</si>
  <si>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</si>
  <si>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</si>
  <si>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</si>
  <si>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</si>
  <si>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</si>
  <si>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</si>
  <si>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</si>
  <si>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</si>
  <si>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</si>
  <si>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</si>
  <si>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</si>
  <si>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</si>
  <si>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</si>
  <si>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</si>
  <si>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</si>
  <si>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</si>
  <si>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</si>
  <si>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</si>
  <si>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</si>
  <si>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</si>
  <si>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</si>
  <si>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</si>
  <si>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</si>
  <si>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</si>
  <si>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</si>
  <si>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</si>
  <si>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</si>
  <si>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</si>
  <si>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</si>
  <si>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</si>
  <si>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</si>
  <si>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</si>
  <si>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</si>
  <si>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</si>
  <si>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</si>
  <si>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</si>
  <si>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</si>
  <si>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</si>
  <si>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</si>
  <si>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</si>
  <si>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</si>
  <si>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</si>
  <si>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</si>
  <si>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</si>
  <si>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</si>
  <si>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</si>
  <si>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</si>
  <si>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</si>
  <si>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</si>
  <si>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</si>
  <si>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</si>
  <si>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</si>
  <si>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</si>
  <si>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</si>
  <si>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</si>
  <si>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</si>
  <si>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</si>
  <si>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</si>
  <si>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</si>
  <si>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</si>
  <si>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</si>
  <si>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</si>
  <si>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</si>
  <si>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</si>
  <si>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</si>
  <si>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</si>
  <si>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</si>
  <si>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</si>
  <si>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</si>
  <si>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</si>
  <si>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</si>
  <si>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</si>
  <si>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</si>
  <si>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</si>
  <si>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</si>
  <si>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</si>
  <si>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</si>
  <si>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</si>
  <si>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</si>
  <si>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</si>
  <si>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</si>
  <si>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</si>
  <si>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</si>
  <si>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</si>
  <si>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</si>
  <si>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</si>
  <si>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</si>
  <si>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</si>
  <si>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</si>
  <si>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</si>
  <si>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</si>
  <si>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</si>
  <si>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</si>
  <si>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</si>
  <si>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</si>
  <si>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</si>
  <si>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</si>
  <si>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</si>
  <si>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</si>
  <si>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</si>
  <si>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</si>
  <si>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</si>
  <si>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</si>
  <si>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</si>
  <si>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</si>
  <si>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</si>
  <si>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</si>
  <si>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</si>
  <si>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</si>
  <si>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</si>
  <si>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</si>
  <si>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</si>
  <si>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</si>
  <si>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</si>
  <si>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</si>
  <si>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</si>
  <si>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</si>
  <si>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</si>
  <si>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</si>
  <si>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</si>
  <si>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</si>
  <si>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</si>
  <si>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</si>
  <si>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</si>
  <si>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</si>
  <si>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</si>
  <si>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</si>
  <si>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</si>
  <si>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</si>
  <si>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</si>
  <si>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</si>
  <si>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</si>
  <si>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</si>
  <si>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</si>
  <si>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</si>
  <si>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</si>
  <si>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</si>
  <si>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</si>
  <si>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</si>
  <si>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</si>
  <si>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</si>
  <si>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</si>
  <si>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</si>
  <si>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</si>
  <si>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</si>
  <si>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</si>
  <si>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</si>
  <si>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</si>
  <si>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</si>
  <si>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</si>
  <si>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</si>
  <si>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</si>
  <si>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</si>
  <si>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</si>
  <si>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</si>
  <si>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</si>
  <si>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</si>
  <si>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</si>
  <si>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</si>
  <si>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</si>
  <si>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</si>
  <si>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</si>
  <si>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</si>
  <si>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</si>
  <si>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</si>
  <si>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</si>
  <si>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</si>
  <si>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</si>
  <si>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</si>
  <si>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</si>
  <si>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</si>
  <si>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</si>
  <si>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</si>
  <si>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</si>
  <si>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</si>
  <si>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</si>
  <si>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</si>
  <si>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</si>
  <si>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</si>
  <si>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</si>
  <si>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</si>
  <si>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</si>
  <si>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</si>
  <si>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</si>
  <si>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</si>
  <si>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</si>
  <si>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</si>
  <si>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</si>
  <si>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</si>
  <si>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</si>
  <si>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</si>
  <si>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</si>
  <si>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</si>
  <si>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</si>
  <si>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</si>
  <si>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</si>
  <si>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</si>
  <si>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</si>
  <si>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</si>
  <si>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</si>
  <si>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</si>
  <si>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</si>
  <si>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</si>
  <si>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</si>
  <si>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</si>
  <si>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</si>
  <si>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</si>
  <si>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</si>
  <si>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</si>
  <si>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</si>
  <si>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</si>
  <si>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Month</t>
  </si>
  <si>
    <t>Year</t>
  </si>
  <si>
    <t>Sum of Sales</t>
  </si>
  <si>
    <t>Sum of Quantity</t>
  </si>
  <si>
    <t>Row Labels</t>
  </si>
  <si>
    <t>2023</t>
  </si>
  <si>
    <t>2024</t>
  </si>
  <si>
    <t>Grand Total</t>
  </si>
  <si>
    <t>Sum of Cost</t>
  </si>
  <si>
    <t>Sum of Profit</t>
  </si>
  <si>
    <t>Key Performance Indicators</t>
  </si>
  <si>
    <t>sales</t>
  </si>
  <si>
    <t>qqty</t>
  </si>
  <si>
    <t>cost</t>
  </si>
  <si>
    <t>profit</t>
  </si>
  <si>
    <t>cy</t>
  </si>
  <si>
    <t>py</t>
  </si>
  <si>
    <t>yoy</t>
  </si>
  <si>
    <t>Jan</t>
  </si>
  <si>
    <t>Feb</t>
  </si>
  <si>
    <t>Mar</t>
  </si>
  <si>
    <t>Apr</t>
  </si>
  <si>
    <t>May</t>
  </si>
  <si>
    <t>Jun</t>
  </si>
  <si>
    <t>Jul</t>
  </si>
  <si>
    <t>Aug</t>
  </si>
  <si>
    <t>Sept</t>
  </si>
  <si>
    <t>Oct</t>
  </si>
  <si>
    <t>Nov</t>
  </si>
  <si>
    <t>Dec</t>
  </si>
  <si>
    <t>Column Labels</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</si>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</sst>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yyyy\-mm\-dd"/>
    <numFmt numFmtId="165" formatCode="[&gt;=1000000]\$0.0,,&quot;M&quot;;[&gt;=1000]\$0.0,&quot;K&quot;;0"/>
    <numFmt numFmtId="168" formatCode="[&gt;=1000000]\$0,,&quot;M&quot;;[&gt;=1000]\$0,&quot;K&quot;;0"/>
    <numFmt numFmtId="170" formatCode="[$-F800]dddd\,\ mmmm\ dd\,\ yyyy"/>
    <numFmt numFmtId="171" formatCode="[$-F400]h:mm:ss\ am/pm"/>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BAC8C9"/>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43" fontId="0" fillId="0" borderId="0" xfId="0" applyNumberFormat="1"/>
    <xf numFmtId="165" fontId="0" fillId="0" borderId="0" xfId="0" applyNumberFormat="1"/>
    <xf numFmtId="9" fontId="0" fillId="0" borderId="0" xfId="1" applyFont="1"/>
    <xf numFmtId="0" fontId="3" fillId="2" borderId="0" xfId="0" applyFont="1" applyFill="1"/>
    <xf numFmtId="168" fontId="0" fillId="0" borderId="0" xfId="0" applyNumberFormat="1"/>
    <xf numFmtId="170" fontId="0" fillId="0" borderId="0" xfId="0" applyNumberFormat="1"/>
    <xf numFmtId="171" fontId="0" fillId="0" borderId="0" xfId="0" applyNumberFormat="1"/>
  </cellXfs>
  <cellStyles count="2">
    <cellStyle name="Normal" xfId="0" builtinId="0"/>
    <cellStyle name="Percent" xfId="1" builtinId="5"/>
  </cellStyles>
  <dxfs count="35">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ont>
        <b/>
        <i val="0"/>
        <color rgb="FFBAC8C9"/>
        <name val="Calibri"/>
        <family val="2"/>
        <scheme val="minor"/>
      </font>
      <fill>
        <patternFill>
          <bgColor rgb="FF000D0E"/>
        </patternFill>
      </fill>
      <border diagonalUp="0" diagonalDown="0">
        <left style="thin">
          <color auto="1"/>
        </left>
        <right style="thin">
          <color auto="1"/>
        </right>
        <top style="thin">
          <color auto="1"/>
        </top>
        <bottom style="thin">
          <color auto="1"/>
        </bottom>
        <vertical/>
        <horizontal/>
      </border>
    </dxf>
    <dxf>
      <numFmt numFmtId="35" formatCode="_-* #,##0.00_-;\-* #,##0.00_-;_-* &quot;-&quot;??_-;_-@_-"/>
    </dxf>
    <dxf>
      <numFmt numFmtId="35" formatCode="_-* #,##0.00_-;\-* #,##0.00_-;_-* &quot;-&quot;??_-;_-@_-"/>
    </dxf>
    <dxf>
      <numFmt numFmtId="35" formatCode="_-* #,##0.00_-;\-* #,##0.00_-;_-* &quot;-&quot;??_-;_-@_-"/>
    </dxf>
    <dxf>
      <numFmt numFmtId="168" formatCode="[&gt;=1000000]\$0,,&quot;M&quot;;[&gt;=1000]\$0,&quot;K&quot;;0"/>
    </dxf>
    <dxf>
      <numFmt numFmtId="168" formatCode="[&gt;=1000000]\$0,,&quot;M&quot;;[&gt;=1000]\$0,&quot;K&quot;;0"/>
    </dxf>
    <dxf>
      <numFmt numFmtId="35" formatCode="_-* #,##0.00_-;\-* #,##0.00_-;_-*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1" xr9:uid="{211241EB-FF1A-4523-9F9B-B06064F83308}">
      <tableStyleElement type="wholeTable" dxfId="15"/>
    </tableStyle>
  </tableStyles>
  <colors>
    <mruColors>
      <color rgb="FFBAC8C9"/>
      <color rgb="FF000D0E"/>
      <color rgb="FF57B2A1"/>
      <color rgb="FF8AA2A4"/>
      <color rgb="FF001C1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 Dataset.xlsx]Calculations!PivotTable8</c:name>
    <c:fmtId val="14"/>
  </c:pivotSource>
  <c:chart>
    <c:autoTitleDeleted val="0"/>
    <c:pivotFmts>
      <c:pivotFmt>
        <c:idx val="0"/>
        <c:spPr>
          <a:solidFill>
            <a:schemeClr val="accent1"/>
          </a:solidFill>
          <a:ln w="28575" cap="rnd">
            <a:solidFill>
              <a:srgbClr val="57B2A1">
                <a:alpha val="50000"/>
              </a:srgb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
      </c:pivotFmt>
      <c:pivotFmt>
        <c:idx val="1"/>
        <c:spPr>
          <a:solidFill>
            <a:schemeClr val="accent1"/>
          </a:solidFill>
          <a:ln w="28575" cap="rnd">
            <a:solidFill>
              <a:srgbClr val="57B2A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
      </c:pivotFmt>
      <c:pivotFmt>
        <c:idx val="2"/>
        <c:spPr>
          <a:solidFill>
            <a:schemeClr val="accent1"/>
          </a:solidFill>
          <a:ln w="28575" cap="rnd">
            <a:solidFill>
              <a:srgbClr val="57B2A1"/>
            </a:solidFill>
            <a:round/>
          </a:ln>
          <a:effectLst/>
        </c:spPr>
      </c:pivotFmt>
      <c:pivotFmt>
        <c:idx val="3"/>
        <c:spPr>
          <a:solidFill>
            <a:schemeClr val="accent1"/>
          </a:solidFill>
          <a:ln w="28575" cap="rnd">
            <a:solidFill>
              <a:srgbClr val="57B2A1">
                <a:alpha val="50000"/>
              </a:srgb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
      </c:pivotFmt>
      <c:pivotFmt>
        <c:idx val="4"/>
        <c:spPr>
          <a:solidFill>
            <a:schemeClr val="accent1"/>
          </a:solidFill>
          <a:ln w="28575" cap="rnd">
            <a:solidFill>
              <a:srgbClr val="57B2A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
      </c:pivotFmt>
      <c:pivotFmt>
        <c:idx val="5"/>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Calculations!$L$6:$L$7</c:f>
              <c:strCache>
                <c:ptCount val="1"/>
                <c:pt idx="0">
                  <c:v>2023</c:v>
                </c:pt>
              </c:strCache>
            </c:strRef>
          </c:tx>
          <c:spPr>
            <a:ln w="28575" cap="rnd">
              <a:solidFill>
                <a:srgbClr val="57B2A1">
                  <a:alpha val="50000"/>
                </a:srgbClr>
              </a:solidFill>
              <a:round/>
            </a:ln>
            <a:effectLst/>
          </c:spPr>
          <c:marker>
            <c:symbol val="none"/>
          </c:marker>
          <c:cat>
            <c:strRef>
              <c:f>Calculations!$K$8:$K$12</c:f>
              <c:strCache>
                <c:ptCount val="4"/>
                <c:pt idx="0">
                  <c:v>Qtr1</c:v>
                </c:pt>
                <c:pt idx="1">
                  <c:v>Qtr2</c:v>
                </c:pt>
                <c:pt idx="2">
                  <c:v>Qtr3</c:v>
                </c:pt>
                <c:pt idx="3">
                  <c:v>Qtr4</c:v>
                </c:pt>
              </c:strCache>
            </c:strRef>
          </c:cat>
          <c:val>
            <c:numRef>
              <c:f>Calculations!$L$8:$L$12</c:f>
              <c:numCache>
                <c:formatCode>[&gt;=1000000]\$0.0,,"M";[&gt;=1000]\$0.0,"K";0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ABC0-42A4-8530-C3D6357C217D}"/>
            </c:ext>
          </c:extLst>
        </c:ser>
        <c:ser>
          <c:idx val="1"/>
          <c:order val="1"/>
          <c:tx>
            <c:strRef>
              <c:f>Calculations!$M$6:$M$7</c:f>
              <c:strCache>
                <c:ptCount val="1"/>
                <c:pt idx="0">
                  <c:v>2024</c:v>
                </c:pt>
              </c:strCache>
            </c:strRef>
          </c:tx>
          <c:spPr>
            <a:ln w="28575" cap="rnd">
              <a:solidFill>
                <a:srgbClr val="57B2A1"/>
              </a:solidFill>
              <a:round/>
            </a:ln>
            <a:effectLst/>
          </c:spPr>
          <c:marker>
            <c:symbol val="none"/>
          </c:marker>
          <c:cat>
            <c:strRef>
              <c:f>Calculations!$K$8:$K$12</c:f>
              <c:strCache>
                <c:ptCount val="4"/>
                <c:pt idx="0">
                  <c:v>Qtr1</c:v>
                </c:pt>
                <c:pt idx="1">
                  <c:v>Qtr2</c:v>
                </c:pt>
                <c:pt idx="2">
                  <c:v>Qtr3</c:v>
                </c:pt>
                <c:pt idx="3">
                  <c:v>Qtr4</c:v>
                </c:pt>
              </c:strCache>
            </c:strRef>
          </c:cat>
          <c:val>
            <c:numRef>
              <c:f>Calculations!$M$8:$M$12</c:f>
              <c:numCache>
                <c:formatCode>[&gt;=1000000]\$0.0,,"M";[&gt;=1000]\$0.0,"K";0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ABC0-42A4-8530-C3D6357C217D}"/>
            </c:ext>
          </c:extLst>
        </c:ser>
        <c:dLbls>
          <c:showLegendKey val="0"/>
          <c:showVal val="0"/>
          <c:showCatName val="0"/>
          <c:showSerName val="0"/>
          <c:showPercent val="0"/>
          <c:showBubbleSize val="0"/>
        </c:dLbls>
        <c:smooth val="0"/>
        <c:axId val="1758902992"/>
        <c:axId val="1758901552"/>
      </c:lineChart>
      <c:catAx>
        <c:axId val="1758902992"/>
        <c:scaling>
          <c:orientation val="minMax"/>
        </c:scaling>
        <c:delete val="1"/>
        <c:axPos val="b"/>
        <c:numFmt formatCode="General" sourceLinked="1"/>
        <c:majorTickMark val="none"/>
        <c:minorTickMark val="none"/>
        <c:tickLblPos val="nextTo"/>
        <c:crossAx val="1758901552"/>
        <c:crosses val="autoZero"/>
        <c:auto val="1"/>
        <c:lblAlgn val="ctr"/>
        <c:lblOffset val="100"/>
        <c:noMultiLvlLbl val="0"/>
      </c:catAx>
      <c:valAx>
        <c:axId val="1758901552"/>
        <c:scaling>
          <c:orientation val="minMax"/>
        </c:scaling>
        <c:delete val="1"/>
        <c:axPos val="l"/>
        <c:numFmt formatCode="[&gt;=1000000]\$0.0,,&quot;M&quot;;[&gt;=1000]\$0.0,&quot;K&quot;;0" sourceLinked="1"/>
        <c:majorTickMark val="none"/>
        <c:minorTickMark val="none"/>
        <c:tickLblPos val="nextTo"/>
        <c:crossAx val="175890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 Dataset.xlsx]Calculations!PivotTable10</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Calculations!$L$15:$L$16</c:f>
              <c:strCache>
                <c:ptCount val="1"/>
                <c:pt idx="0">
                  <c:v>2023</c:v>
                </c:pt>
              </c:strCache>
            </c:strRef>
          </c:tx>
          <c:spPr>
            <a:ln w="28575" cap="rnd">
              <a:solidFill>
                <a:srgbClr val="57B2A1">
                  <a:alpha val="50000"/>
                </a:srgbClr>
              </a:solidFill>
              <a:round/>
            </a:ln>
            <a:effectLst/>
          </c:spPr>
          <c:marker>
            <c:symbol val="none"/>
          </c:marker>
          <c:cat>
            <c:strRef>
              <c:f>Calculations!$K$17:$K$21</c:f>
              <c:strCache>
                <c:ptCount val="4"/>
                <c:pt idx="0">
                  <c:v>Qtr1</c:v>
                </c:pt>
                <c:pt idx="1">
                  <c:v>Qtr2</c:v>
                </c:pt>
                <c:pt idx="2">
                  <c:v>Qtr3</c:v>
                </c:pt>
                <c:pt idx="3">
                  <c:v>Qtr4</c:v>
                </c:pt>
              </c:strCache>
            </c:strRef>
          </c:cat>
          <c:val>
            <c:numRef>
              <c:f>Calculations!$L$17:$L$21</c:f>
              <c:numCache>
                <c:formatCode>[&gt;=1000000]\$0.0,,"M";[&gt;=1000]\$0.0,"K";0</c:formatCode>
                <c:ptCount val="4"/>
                <c:pt idx="0">
                  <c:v>202</c:v>
                </c:pt>
                <c:pt idx="1">
                  <c:v>174</c:v>
                </c:pt>
                <c:pt idx="2">
                  <c:v>146</c:v>
                </c:pt>
                <c:pt idx="3">
                  <c:v>202</c:v>
                </c:pt>
              </c:numCache>
            </c:numRef>
          </c:val>
          <c:smooth val="1"/>
          <c:extLst>
            <c:ext xmlns:c16="http://schemas.microsoft.com/office/drawing/2014/chart" uri="{C3380CC4-5D6E-409C-BE32-E72D297353CC}">
              <c16:uniqueId val="{00000000-C7AB-4E70-8C28-DBDE087111D5}"/>
            </c:ext>
          </c:extLst>
        </c:ser>
        <c:ser>
          <c:idx val="1"/>
          <c:order val="1"/>
          <c:tx>
            <c:strRef>
              <c:f>Calculations!$M$15:$M$16</c:f>
              <c:strCache>
                <c:ptCount val="1"/>
                <c:pt idx="0">
                  <c:v>2024</c:v>
                </c:pt>
              </c:strCache>
            </c:strRef>
          </c:tx>
          <c:spPr>
            <a:ln w="28575" cap="rnd">
              <a:solidFill>
                <a:srgbClr val="57B2A1"/>
              </a:solidFill>
              <a:round/>
            </a:ln>
            <a:effectLst/>
          </c:spPr>
          <c:marker>
            <c:symbol val="none"/>
          </c:marker>
          <c:cat>
            <c:strRef>
              <c:f>Calculations!$K$17:$K$21</c:f>
              <c:strCache>
                <c:ptCount val="4"/>
                <c:pt idx="0">
                  <c:v>Qtr1</c:v>
                </c:pt>
                <c:pt idx="1">
                  <c:v>Qtr2</c:v>
                </c:pt>
                <c:pt idx="2">
                  <c:v>Qtr3</c:v>
                </c:pt>
                <c:pt idx="3">
                  <c:v>Qtr4</c:v>
                </c:pt>
              </c:strCache>
            </c:strRef>
          </c:cat>
          <c:val>
            <c:numRef>
              <c:f>Calculations!$M$17:$M$21</c:f>
              <c:numCache>
                <c:formatCode>[&gt;=1000000]\$0.0,,"M";[&gt;=1000]\$0.0,"K";0</c:formatCode>
                <c:ptCount val="4"/>
                <c:pt idx="0">
                  <c:v>216</c:v>
                </c:pt>
                <c:pt idx="1">
                  <c:v>189</c:v>
                </c:pt>
                <c:pt idx="2">
                  <c:v>252</c:v>
                </c:pt>
                <c:pt idx="3">
                  <c:v>242</c:v>
                </c:pt>
              </c:numCache>
            </c:numRef>
          </c:val>
          <c:smooth val="1"/>
          <c:extLst>
            <c:ext xmlns:c16="http://schemas.microsoft.com/office/drawing/2014/chart" uri="{C3380CC4-5D6E-409C-BE32-E72D297353CC}">
              <c16:uniqueId val="{00000001-C7AB-4E70-8C28-DBDE087111D5}"/>
            </c:ext>
          </c:extLst>
        </c:ser>
        <c:dLbls>
          <c:showLegendKey val="0"/>
          <c:showVal val="0"/>
          <c:showCatName val="0"/>
          <c:showSerName val="0"/>
          <c:showPercent val="0"/>
          <c:showBubbleSize val="0"/>
        </c:dLbls>
        <c:smooth val="0"/>
        <c:axId val="1758841552"/>
        <c:axId val="1758844432"/>
      </c:lineChart>
      <c:catAx>
        <c:axId val="1758841552"/>
        <c:scaling>
          <c:orientation val="minMax"/>
        </c:scaling>
        <c:delete val="1"/>
        <c:axPos val="b"/>
        <c:numFmt formatCode="General" sourceLinked="1"/>
        <c:majorTickMark val="none"/>
        <c:minorTickMark val="none"/>
        <c:tickLblPos val="nextTo"/>
        <c:crossAx val="1758844432"/>
        <c:crosses val="autoZero"/>
        <c:auto val="1"/>
        <c:lblAlgn val="ctr"/>
        <c:lblOffset val="100"/>
        <c:noMultiLvlLbl val="0"/>
      </c:catAx>
      <c:valAx>
        <c:axId val="1758844432"/>
        <c:scaling>
          <c:orientation val="minMax"/>
        </c:scaling>
        <c:delete val="1"/>
        <c:axPos val="l"/>
        <c:numFmt formatCode="[&gt;=1000000]\$0.0,,&quot;M&quot;;[&gt;=1000]\$0.0,&quot;K&quot;;0" sourceLinked="1"/>
        <c:majorTickMark val="none"/>
        <c:minorTickMark val="none"/>
        <c:tickLblPos val="nextTo"/>
        <c:crossAx val="17588415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 Dataset.xlsx]Calculations!PivotTable12</c:name>
    <c:fmtId val="5"/>
  </c:pivotSource>
  <c:chart>
    <c:autoTitleDeleted val="0"/>
    <c:pivotFmts>
      <c:pivotFmt>
        <c:idx val="0"/>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Calculations!$L$24:$L$25</c:f>
              <c:strCache>
                <c:ptCount val="1"/>
                <c:pt idx="0">
                  <c:v>2023</c:v>
                </c:pt>
              </c:strCache>
            </c:strRef>
          </c:tx>
          <c:spPr>
            <a:ln w="28575" cap="rnd">
              <a:solidFill>
                <a:srgbClr val="57B2A1">
                  <a:alpha val="50000"/>
                </a:srgbClr>
              </a:solidFill>
              <a:round/>
            </a:ln>
            <a:effectLst/>
          </c:spPr>
          <c:marker>
            <c:symbol val="none"/>
          </c:marker>
          <c:cat>
            <c:strRef>
              <c:f>Calculations!$K$26:$K$30</c:f>
              <c:strCache>
                <c:ptCount val="4"/>
                <c:pt idx="0">
                  <c:v>Qtr1</c:v>
                </c:pt>
                <c:pt idx="1">
                  <c:v>Qtr2</c:v>
                </c:pt>
                <c:pt idx="2">
                  <c:v>Qtr3</c:v>
                </c:pt>
                <c:pt idx="3">
                  <c:v>Qtr4</c:v>
                </c:pt>
              </c:strCache>
            </c:strRef>
          </c:cat>
          <c:val>
            <c:numRef>
              <c:f>Calculations!$L$26:$L$30</c:f>
              <c:numCache>
                <c:formatCode>[&gt;=1000000]\$0.0,,"M";[&gt;=1000]\$0.0,"K";0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9487-4B29-A4AA-EE8969AB3889}"/>
            </c:ext>
          </c:extLst>
        </c:ser>
        <c:ser>
          <c:idx val="1"/>
          <c:order val="1"/>
          <c:tx>
            <c:strRef>
              <c:f>Calculations!$M$24:$M$25</c:f>
              <c:strCache>
                <c:ptCount val="1"/>
                <c:pt idx="0">
                  <c:v>2024</c:v>
                </c:pt>
              </c:strCache>
            </c:strRef>
          </c:tx>
          <c:spPr>
            <a:ln w="28575" cap="rnd">
              <a:solidFill>
                <a:srgbClr val="57B2A1"/>
              </a:solidFill>
              <a:round/>
            </a:ln>
            <a:effectLst/>
          </c:spPr>
          <c:marker>
            <c:symbol val="none"/>
          </c:marker>
          <c:cat>
            <c:strRef>
              <c:f>Calculations!$K$26:$K$30</c:f>
              <c:strCache>
                <c:ptCount val="4"/>
                <c:pt idx="0">
                  <c:v>Qtr1</c:v>
                </c:pt>
                <c:pt idx="1">
                  <c:v>Qtr2</c:v>
                </c:pt>
                <c:pt idx="2">
                  <c:v>Qtr3</c:v>
                </c:pt>
                <c:pt idx="3">
                  <c:v>Qtr4</c:v>
                </c:pt>
              </c:strCache>
            </c:strRef>
          </c:cat>
          <c:val>
            <c:numRef>
              <c:f>Calculations!$M$26:$M$30</c:f>
              <c:numCache>
                <c:formatCode>[&gt;=1000000]\$0.0,,"M";[&gt;=1000]\$0.0,"K";0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9487-4B29-A4AA-EE8969AB3889}"/>
            </c:ext>
          </c:extLst>
        </c:ser>
        <c:dLbls>
          <c:showLegendKey val="0"/>
          <c:showVal val="0"/>
          <c:showCatName val="0"/>
          <c:showSerName val="0"/>
          <c:showPercent val="0"/>
          <c:showBubbleSize val="0"/>
        </c:dLbls>
        <c:smooth val="0"/>
        <c:axId val="1758862192"/>
        <c:axId val="1758864112"/>
      </c:lineChart>
      <c:catAx>
        <c:axId val="1758862192"/>
        <c:scaling>
          <c:orientation val="minMax"/>
        </c:scaling>
        <c:delete val="1"/>
        <c:axPos val="b"/>
        <c:numFmt formatCode="General" sourceLinked="1"/>
        <c:majorTickMark val="none"/>
        <c:minorTickMark val="none"/>
        <c:tickLblPos val="nextTo"/>
        <c:crossAx val="1758864112"/>
        <c:crosses val="autoZero"/>
        <c:auto val="1"/>
        <c:lblAlgn val="ctr"/>
        <c:lblOffset val="100"/>
        <c:noMultiLvlLbl val="0"/>
      </c:catAx>
      <c:valAx>
        <c:axId val="1758864112"/>
        <c:scaling>
          <c:orientation val="minMax"/>
        </c:scaling>
        <c:delete val="1"/>
        <c:axPos val="l"/>
        <c:numFmt formatCode="[&gt;=1000000]\$0.0,,&quot;M&quot;;[&gt;=1000]\$0.0,&quot;K&quot;;0" sourceLinked="1"/>
        <c:majorTickMark val="none"/>
        <c:minorTickMark val="none"/>
        <c:tickLblPos val="nextTo"/>
        <c:crossAx val="17588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 Dataset.xlsx]Calculations!PivotTable13</c:name>
    <c:fmtId val="6"/>
  </c:pivotSource>
  <c:chart>
    <c:autoTitleDeleted val="0"/>
    <c:pivotFmts>
      <c:pivotFmt>
        <c:idx val="0"/>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Calculations!$L$33:$L$34</c:f>
              <c:strCache>
                <c:ptCount val="1"/>
                <c:pt idx="0">
                  <c:v>2023</c:v>
                </c:pt>
              </c:strCache>
            </c:strRef>
          </c:tx>
          <c:spPr>
            <a:ln w="28575" cap="rnd">
              <a:solidFill>
                <a:srgbClr val="57B2A1">
                  <a:alpha val="50000"/>
                </a:srgbClr>
              </a:solidFill>
              <a:round/>
            </a:ln>
            <a:effectLst/>
          </c:spPr>
          <c:marker>
            <c:symbol val="none"/>
          </c:marker>
          <c:cat>
            <c:strRef>
              <c:f>Calculations!$K$35:$K$39</c:f>
              <c:strCache>
                <c:ptCount val="4"/>
                <c:pt idx="0">
                  <c:v>Qtr1</c:v>
                </c:pt>
                <c:pt idx="1">
                  <c:v>Qtr2</c:v>
                </c:pt>
                <c:pt idx="2">
                  <c:v>Qtr3</c:v>
                </c:pt>
                <c:pt idx="3">
                  <c:v>Qtr4</c:v>
                </c:pt>
              </c:strCache>
            </c:strRef>
          </c:cat>
          <c:val>
            <c:numRef>
              <c:f>Calculations!$L$35:$L$39</c:f>
              <c:numCache>
                <c:formatCode>[&gt;=1000000]\$0.0,,"M";[&gt;=1000]\$0.0,"K";0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AC76-493E-BBEA-3A20A3E96CD8}"/>
            </c:ext>
          </c:extLst>
        </c:ser>
        <c:ser>
          <c:idx val="1"/>
          <c:order val="1"/>
          <c:tx>
            <c:strRef>
              <c:f>Calculations!$M$33:$M$34</c:f>
              <c:strCache>
                <c:ptCount val="1"/>
                <c:pt idx="0">
                  <c:v>2024</c:v>
                </c:pt>
              </c:strCache>
            </c:strRef>
          </c:tx>
          <c:spPr>
            <a:ln w="28575" cap="rnd">
              <a:solidFill>
                <a:srgbClr val="57B2A1"/>
              </a:solidFill>
              <a:round/>
            </a:ln>
            <a:effectLst/>
          </c:spPr>
          <c:marker>
            <c:symbol val="none"/>
          </c:marker>
          <c:cat>
            <c:strRef>
              <c:f>Calculations!$K$35:$K$39</c:f>
              <c:strCache>
                <c:ptCount val="4"/>
                <c:pt idx="0">
                  <c:v>Qtr1</c:v>
                </c:pt>
                <c:pt idx="1">
                  <c:v>Qtr2</c:v>
                </c:pt>
                <c:pt idx="2">
                  <c:v>Qtr3</c:v>
                </c:pt>
                <c:pt idx="3">
                  <c:v>Qtr4</c:v>
                </c:pt>
              </c:strCache>
            </c:strRef>
          </c:cat>
          <c:val>
            <c:numRef>
              <c:f>Calculations!$M$35:$M$39</c:f>
              <c:numCache>
                <c:formatCode>[&gt;=1000000]\$0.0,,"M";[&gt;=1000]\$0.0,"K";0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AC76-493E-BBEA-3A20A3E96CD8}"/>
            </c:ext>
          </c:extLst>
        </c:ser>
        <c:dLbls>
          <c:showLegendKey val="0"/>
          <c:showVal val="0"/>
          <c:showCatName val="0"/>
          <c:showSerName val="0"/>
          <c:showPercent val="0"/>
          <c:showBubbleSize val="0"/>
        </c:dLbls>
        <c:smooth val="0"/>
        <c:axId val="1758842512"/>
        <c:axId val="1758861712"/>
      </c:lineChart>
      <c:catAx>
        <c:axId val="1758842512"/>
        <c:scaling>
          <c:orientation val="minMax"/>
        </c:scaling>
        <c:delete val="1"/>
        <c:axPos val="b"/>
        <c:numFmt formatCode="General" sourceLinked="1"/>
        <c:majorTickMark val="none"/>
        <c:minorTickMark val="none"/>
        <c:tickLblPos val="nextTo"/>
        <c:crossAx val="1758861712"/>
        <c:crosses val="autoZero"/>
        <c:auto val="1"/>
        <c:lblAlgn val="ctr"/>
        <c:lblOffset val="100"/>
        <c:noMultiLvlLbl val="0"/>
      </c:catAx>
      <c:valAx>
        <c:axId val="1758861712"/>
        <c:scaling>
          <c:orientation val="minMax"/>
        </c:scaling>
        <c:delete val="1"/>
        <c:axPos val="l"/>
        <c:numFmt formatCode="[&gt;=1000000]\$0.0,,&quot;M&quot;;[&gt;=1000]\$0.0,&quot;K&quot;;0" sourceLinked="1"/>
        <c:majorTickMark val="none"/>
        <c:minorTickMark val="none"/>
        <c:tickLblPos val="nextTo"/>
        <c:crossAx val="175884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 Dataset.xlsx]Calculations!PivotTable3</c:name>
    <c:fmtId val="4"/>
  </c:pivotSource>
  <c:chart>
    <c:autoTitleDeleted val="0"/>
    <c:pivotFmts>
      <c:pivotFmt>
        <c:idx val="0"/>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Calculations!$C$19:$C$20</c:f>
              <c:strCache>
                <c:ptCount val="1"/>
                <c:pt idx="0">
                  <c:v>2023</c:v>
                </c:pt>
              </c:strCache>
            </c:strRef>
          </c:tx>
          <c:spPr>
            <a:ln w="28575" cap="rnd">
              <a:solidFill>
                <a:srgbClr val="57B2A1">
                  <a:alpha val="50000"/>
                </a:srgbClr>
              </a:solidFill>
              <a:round/>
            </a:ln>
            <a:effectLst/>
          </c:spPr>
          <c:marker>
            <c:symbol val="none"/>
          </c:marker>
          <c:cat>
            <c:strRef>
              <c:f>Calculations!$B$21:$B$33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Calculations!$C$21:$C$33</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6C98-4286-9CB2-410100F840BA}"/>
            </c:ext>
          </c:extLst>
        </c:ser>
        <c:ser>
          <c:idx val="1"/>
          <c:order val="1"/>
          <c:tx>
            <c:strRef>
              <c:f>Calculations!$D$19:$D$20</c:f>
              <c:strCache>
                <c:ptCount val="1"/>
                <c:pt idx="0">
                  <c:v>2024</c:v>
                </c:pt>
              </c:strCache>
            </c:strRef>
          </c:tx>
          <c:spPr>
            <a:ln w="28575" cap="rnd">
              <a:solidFill>
                <a:srgbClr val="57B2A1"/>
              </a:solidFill>
              <a:round/>
            </a:ln>
            <a:effectLst/>
          </c:spPr>
          <c:marker>
            <c:symbol val="none"/>
          </c:marker>
          <c:cat>
            <c:strRef>
              <c:f>Calculations!$B$21:$B$33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Calculations!$D$21:$D$33</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6C98-4286-9CB2-410100F840BA}"/>
            </c:ext>
          </c:extLst>
        </c:ser>
        <c:dLbls>
          <c:showLegendKey val="0"/>
          <c:showVal val="0"/>
          <c:showCatName val="0"/>
          <c:showSerName val="0"/>
          <c:showPercent val="0"/>
          <c:showBubbleSize val="0"/>
        </c:dLbls>
        <c:smooth val="0"/>
        <c:axId val="1303645824"/>
        <c:axId val="1303663584"/>
      </c:lineChart>
      <c:catAx>
        <c:axId val="130364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crossAx val="1303663584"/>
        <c:crosses val="autoZero"/>
        <c:auto val="1"/>
        <c:lblAlgn val="ctr"/>
        <c:lblOffset val="100"/>
        <c:noMultiLvlLbl val="0"/>
      </c:catAx>
      <c:valAx>
        <c:axId val="13036635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crossAx val="1303645824"/>
        <c:crosses val="autoZero"/>
        <c:crossBetween val="between"/>
      </c:valAx>
      <c:spPr>
        <a:noFill/>
        <a:ln>
          <a:noFill/>
        </a:ln>
        <a:effectLst/>
      </c:spPr>
    </c:plotArea>
    <c:legend>
      <c:legendPos val="t"/>
      <c:layout>
        <c:manualLayout>
          <c:xMode val="edge"/>
          <c:yMode val="edge"/>
          <c:x val="0.68394443413019979"/>
          <c:y val="4.9905220180810735E-2"/>
          <c:w val="0.2812093876614937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 Dataset.xlsx]Calculations!PivotTable5</c:name>
    <c:fmtId val="3"/>
  </c:pivotSource>
  <c:chart>
    <c:autoTitleDeleted val="0"/>
    <c:pivotFmts>
      <c:pivotFmt>
        <c:idx val="0"/>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Calculations!$C$35:$C$36</c:f>
              <c:strCache>
                <c:ptCount val="1"/>
                <c:pt idx="0">
                  <c:v>2023</c:v>
                </c:pt>
              </c:strCache>
            </c:strRef>
          </c:tx>
          <c:spPr>
            <a:solidFill>
              <a:srgbClr val="57B2A1">
                <a:alpha val="50000"/>
              </a:srgbClr>
            </a:solidFill>
            <a:ln>
              <a:noFill/>
            </a:ln>
            <a:effectLst/>
          </c:spPr>
          <c:invertIfNegative val="0"/>
          <c:cat>
            <c:strRef>
              <c:f>Calculations!$B$37:$B$43</c:f>
              <c:strCache>
                <c:ptCount val="6"/>
                <c:pt idx="0">
                  <c:v>Headphones</c:v>
                </c:pt>
                <c:pt idx="1">
                  <c:v>Keyboard</c:v>
                </c:pt>
                <c:pt idx="2">
                  <c:v>Laptop</c:v>
                </c:pt>
                <c:pt idx="3">
                  <c:v>Monitor</c:v>
                </c:pt>
                <c:pt idx="4">
                  <c:v>Mouse</c:v>
                </c:pt>
                <c:pt idx="5">
                  <c:v>Printer</c:v>
                </c:pt>
              </c:strCache>
            </c:strRef>
          </c:cat>
          <c:val>
            <c:numRef>
              <c:f>Calculations!$C$37:$C$43</c:f>
              <c:numCache>
                <c:formatCode>[&gt;=1000000]\$0,,"M";[&gt;=1000]\$0,"K";0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9C05-443C-B518-7D6B44C66199}"/>
            </c:ext>
          </c:extLst>
        </c:ser>
        <c:ser>
          <c:idx val="1"/>
          <c:order val="1"/>
          <c:tx>
            <c:strRef>
              <c:f>Calculations!$D$35:$D$36</c:f>
              <c:strCache>
                <c:ptCount val="1"/>
                <c:pt idx="0">
                  <c:v>2024</c:v>
                </c:pt>
              </c:strCache>
            </c:strRef>
          </c:tx>
          <c:spPr>
            <a:solidFill>
              <a:srgbClr val="57B2A1"/>
            </a:solidFill>
            <a:ln>
              <a:noFill/>
            </a:ln>
            <a:effectLst/>
          </c:spPr>
          <c:invertIfNegative val="0"/>
          <c:cat>
            <c:strRef>
              <c:f>Calculations!$B$37:$B$43</c:f>
              <c:strCache>
                <c:ptCount val="6"/>
                <c:pt idx="0">
                  <c:v>Headphones</c:v>
                </c:pt>
                <c:pt idx="1">
                  <c:v>Keyboard</c:v>
                </c:pt>
                <c:pt idx="2">
                  <c:v>Laptop</c:v>
                </c:pt>
                <c:pt idx="3">
                  <c:v>Monitor</c:v>
                </c:pt>
                <c:pt idx="4">
                  <c:v>Mouse</c:v>
                </c:pt>
                <c:pt idx="5">
                  <c:v>Printer</c:v>
                </c:pt>
              </c:strCache>
            </c:strRef>
          </c:cat>
          <c:val>
            <c:numRef>
              <c:f>Calculations!$D$37:$D$43</c:f>
              <c:numCache>
                <c:formatCode>[&gt;=1000000]\$0,,"M";[&gt;=1000]\$0,"K";0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9C05-443C-B518-7D6B44C66199}"/>
            </c:ext>
          </c:extLst>
        </c:ser>
        <c:dLbls>
          <c:showLegendKey val="0"/>
          <c:showVal val="0"/>
          <c:showCatName val="0"/>
          <c:showSerName val="0"/>
          <c:showPercent val="0"/>
          <c:showBubbleSize val="0"/>
        </c:dLbls>
        <c:gapWidth val="210"/>
        <c:overlap val="41"/>
        <c:axId val="1303701504"/>
        <c:axId val="1303702944"/>
      </c:barChart>
      <c:catAx>
        <c:axId val="130370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crossAx val="1303702944"/>
        <c:crosses val="autoZero"/>
        <c:auto val="1"/>
        <c:lblAlgn val="ctr"/>
        <c:lblOffset val="100"/>
        <c:noMultiLvlLbl val="0"/>
      </c:catAx>
      <c:valAx>
        <c:axId val="1303702944"/>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crossAx val="1303701504"/>
        <c:crosses val="autoZero"/>
        <c:crossBetween val="between"/>
      </c:valAx>
      <c:spPr>
        <a:noFill/>
        <a:ln>
          <a:noFill/>
        </a:ln>
        <a:effectLst/>
      </c:spPr>
    </c:plotArea>
    <c:legend>
      <c:legendPos val="t"/>
      <c:layout>
        <c:manualLayout>
          <c:xMode val="edge"/>
          <c:yMode val="edge"/>
          <c:x val="0.81136806928260174"/>
          <c:y val="9.2592592592592587E-3"/>
          <c:w val="0.1872499918092762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 Dataset.xlsx]Calculations!PivotTable7</c:name>
    <c:fmtId val="3"/>
  </c:pivotSource>
  <c:chart>
    <c:autoTitleDeleted val="0"/>
    <c:pivotFmts>
      <c:pivotFmt>
        <c:idx val="0"/>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Calculations!$C$47:$C$48</c:f>
              <c:strCache>
                <c:ptCount val="1"/>
                <c:pt idx="0">
                  <c:v>2023</c:v>
                </c:pt>
              </c:strCache>
            </c:strRef>
          </c:tx>
          <c:spPr>
            <a:solidFill>
              <a:srgbClr val="57B2A1">
                <a:alpha val="50000"/>
              </a:srgbClr>
            </a:solidFill>
            <a:ln>
              <a:noFill/>
            </a:ln>
            <a:effectLst/>
          </c:spPr>
          <c:invertIfNegative val="0"/>
          <c:cat>
            <c:strRef>
              <c:f>Calculations!$B$49:$B$53</c:f>
              <c:strCache>
                <c:ptCount val="4"/>
                <c:pt idx="0">
                  <c:v>East</c:v>
                </c:pt>
                <c:pt idx="1">
                  <c:v>North</c:v>
                </c:pt>
                <c:pt idx="2">
                  <c:v>South</c:v>
                </c:pt>
                <c:pt idx="3">
                  <c:v>West</c:v>
                </c:pt>
              </c:strCache>
            </c:strRef>
          </c:cat>
          <c:val>
            <c:numRef>
              <c:f>Calculations!$C$49:$C$53</c:f>
              <c:numCache>
                <c:formatCode>[&gt;=1000000]\$0.0,,"M";[&gt;=1000]\$0.0,"K";0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9FBD-4182-B97D-15A2C935AB3B}"/>
            </c:ext>
          </c:extLst>
        </c:ser>
        <c:ser>
          <c:idx val="1"/>
          <c:order val="1"/>
          <c:tx>
            <c:strRef>
              <c:f>Calculations!$D$47:$D$48</c:f>
              <c:strCache>
                <c:ptCount val="1"/>
                <c:pt idx="0">
                  <c:v>2024</c:v>
                </c:pt>
              </c:strCache>
            </c:strRef>
          </c:tx>
          <c:spPr>
            <a:solidFill>
              <a:srgbClr val="57B2A1"/>
            </a:solidFill>
            <a:ln>
              <a:noFill/>
            </a:ln>
            <a:effectLst/>
          </c:spPr>
          <c:invertIfNegative val="0"/>
          <c:cat>
            <c:strRef>
              <c:f>Calculations!$B$49:$B$53</c:f>
              <c:strCache>
                <c:ptCount val="4"/>
                <c:pt idx="0">
                  <c:v>East</c:v>
                </c:pt>
                <c:pt idx="1">
                  <c:v>North</c:v>
                </c:pt>
                <c:pt idx="2">
                  <c:v>South</c:v>
                </c:pt>
                <c:pt idx="3">
                  <c:v>West</c:v>
                </c:pt>
              </c:strCache>
            </c:strRef>
          </c:cat>
          <c:val>
            <c:numRef>
              <c:f>Calculations!$D$49:$D$53</c:f>
              <c:numCache>
                <c:formatCode>[&gt;=1000000]\$0.0,,"M";[&gt;=1000]\$0.0,"K";0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9FBD-4182-B97D-15A2C935AB3B}"/>
            </c:ext>
          </c:extLst>
        </c:ser>
        <c:dLbls>
          <c:showLegendKey val="0"/>
          <c:showVal val="0"/>
          <c:showCatName val="0"/>
          <c:showSerName val="0"/>
          <c:showPercent val="0"/>
          <c:showBubbleSize val="0"/>
        </c:dLbls>
        <c:gapWidth val="210"/>
        <c:overlap val="18"/>
        <c:axId val="1852881200"/>
        <c:axId val="1852872560"/>
      </c:barChart>
      <c:catAx>
        <c:axId val="185288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crossAx val="1852872560"/>
        <c:crosses val="autoZero"/>
        <c:auto val="1"/>
        <c:lblAlgn val="ctr"/>
        <c:lblOffset val="100"/>
        <c:noMultiLvlLbl val="0"/>
      </c:catAx>
      <c:valAx>
        <c:axId val="1852872560"/>
        <c:scaling>
          <c:orientation val="minMax"/>
        </c:scaling>
        <c:delete val="1"/>
        <c:axPos val="b"/>
        <c:numFmt formatCode="[&gt;=1000000]\$0.0,,&quot;M&quot;;[&gt;=1000]\$0.0,&quot;K&quot;;0" sourceLinked="1"/>
        <c:majorTickMark val="none"/>
        <c:minorTickMark val="none"/>
        <c:tickLblPos val="nextTo"/>
        <c:crossAx val="185288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alculation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Data!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Calculation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Data!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image" Target="../media/image3.png"/><Relationship Id="rId12" Type="http://schemas.openxmlformats.org/officeDocument/2006/relationships/chart" Target="../charts/chart5.xml"/><Relationship Id="rId2" Type="http://schemas.openxmlformats.org/officeDocument/2006/relationships/hyperlink" Target="#Dashboard!A1"/><Relationship Id="rId1" Type="http://schemas.openxmlformats.org/officeDocument/2006/relationships/image" Target="../media/image4.png"/><Relationship Id="rId6" Type="http://schemas.openxmlformats.org/officeDocument/2006/relationships/hyperlink" Target="#Data!A1"/><Relationship Id="rId11"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chart" Target="../charts/chart3.xml"/><Relationship Id="rId4" Type="http://schemas.openxmlformats.org/officeDocument/2006/relationships/hyperlink" Target="#Calculations!A1"/><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311215</xdr:colOff>
      <xdr:row>0</xdr:row>
      <xdr:rowOff>50788</xdr:rowOff>
    </xdr:from>
    <xdr:to>
      <xdr:col>10</xdr:col>
      <xdr:colOff>398528</xdr:colOff>
      <xdr:row>3</xdr:row>
      <xdr:rowOff>58725</xdr:rowOff>
    </xdr:to>
    <xdr:grpSp>
      <xdr:nvGrpSpPr>
        <xdr:cNvPr id="2" name="Group 1">
          <a:extLst>
            <a:ext uri="{FF2B5EF4-FFF2-40B4-BE49-F238E27FC236}">
              <a16:creationId xmlns:a16="http://schemas.microsoft.com/office/drawing/2014/main" id="{32A4B77A-2061-458A-A1F0-0B7FA4D194FE}"/>
            </a:ext>
          </a:extLst>
        </xdr:cNvPr>
        <xdr:cNvGrpSpPr/>
      </xdr:nvGrpSpPr>
      <xdr:grpSpPr>
        <a:xfrm>
          <a:off x="2200340" y="47613"/>
          <a:ext cx="4789488" cy="554037"/>
          <a:chOff x="7155657" y="619126"/>
          <a:chExt cx="4792663" cy="547687"/>
        </a:xfrm>
      </xdr:grpSpPr>
      <xdr:grpSp>
        <xdr:nvGrpSpPr>
          <xdr:cNvPr id="3" name="Group 2">
            <a:extLst>
              <a:ext uri="{FF2B5EF4-FFF2-40B4-BE49-F238E27FC236}">
                <a16:creationId xmlns:a16="http://schemas.microsoft.com/office/drawing/2014/main" id="{8FE58586-B303-A6EA-42AA-27D7E2831A6E}"/>
              </a:ext>
            </a:extLst>
          </xdr:cNvPr>
          <xdr:cNvGrpSpPr/>
        </xdr:nvGrpSpPr>
        <xdr:grpSpPr>
          <a:xfrm>
            <a:off x="7155657" y="622301"/>
            <a:ext cx="4789488" cy="544512"/>
            <a:chOff x="7155657" y="622301"/>
            <a:chExt cx="4789488" cy="544512"/>
          </a:xfrm>
        </xdr:grpSpPr>
        <xdr:sp macro="" textlink="">
          <xdr:nvSpPr>
            <xdr:cNvPr id="5" name="Rectangle: Rounded Corners 4">
              <a:extLst>
                <a:ext uri="{FF2B5EF4-FFF2-40B4-BE49-F238E27FC236}">
                  <a16:creationId xmlns:a16="http://schemas.microsoft.com/office/drawing/2014/main" id="{25BA2907-84A4-23A6-D293-B17F6B53D19E}"/>
                </a:ext>
              </a:extLst>
            </xdr:cNvPr>
            <xdr:cNvSpPr/>
          </xdr:nvSpPr>
          <xdr:spPr>
            <a:xfrm>
              <a:off x="7155657" y="622301"/>
              <a:ext cx="4789488" cy="544512"/>
            </a:xfrm>
            <a:prstGeom prst="roundRect">
              <a:avLst>
                <a:gd name="adj" fmla="val 18310"/>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pic>
          <xdr:nvPicPr>
            <xdr:cNvPr id="6" name="Picture 5">
              <a:hlinkClick xmlns:r="http://schemas.openxmlformats.org/officeDocument/2006/relationships" r:id="rId1"/>
              <a:extLst>
                <a:ext uri="{FF2B5EF4-FFF2-40B4-BE49-F238E27FC236}">
                  <a16:creationId xmlns:a16="http://schemas.microsoft.com/office/drawing/2014/main" id="{CE221948-00B4-8605-2C1C-56944E6253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22760" y="696257"/>
              <a:ext cx="317650" cy="304592"/>
            </a:xfrm>
            <a:prstGeom prst="rect">
              <a:avLst/>
            </a:prstGeom>
          </xdr:spPr>
        </xdr:pic>
        <xdr:pic>
          <xdr:nvPicPr>
            <xdr:cNvPr id="7" name="Picture 6">
              <a:hlinkClick xmlns:r="http://schemas.openxmlformats.org/officeDocument/2006/relationships" r:id="rId3"/>
              <a:extLst>
                <a:ext uri="{FF2B5EF4-FFF2-40B4-BE49-F238E27FC236}">
                  <a16:creationId xmlns:a16="http://schemas.microsoft.com/office/drawing/2014/main" id="{718DC22F-47C4-9D16-224D-D70D22AE878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365057" y="688243"/>
              <a:ext cx="324000" cy="320620"/>
            </a:xfrm>
            <a:prstGeom prst="rect">
              <a:avLst/>
            </a:prstGeom>
          </xdr:spPr>
        </xdr:pic>
      </xdr:grpSp>
      <xdr:pic>
        <xdr:nvPicPr>
          <xdr:cNvPr id="4" name="Picture 3">
            <a:hlinkClick xmlns:r="http://schemas.openxmlformats.org/officeDocument/2006/relationships" r:id="rId5"/>
            <a:extLst>
              <a:ext uri="{FF2B5EF4-FFF2-40B4-BE49-F238E27FC236}">
                <a16:creationId xmlns:a16="http://schemas.microsoft.com/office/drawing/2014/main" id="{CE9D03A6-ABA6-4232-B3B5-86584F671FE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17594" y="688141"/>
            <a:ext cx="323286" cy="32082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628650</xdr:colOff>
      <xdr:row>0</xdr:row>
      <xdr:rowOff>96628</xdr:rowOff>
    </xdr:from>
    <xdr:to>
      <xdr:col>12</xdr:col>
      <xdr:colOff>39688</xdr:colOff>
      <xdr:row>3</xdr:row>
      <xdr:rowOff>104565</xdr:rowOff>
    </xdr:to>
    <xdr:grpSp>
      <xdr:nvGrpSpPr>
        <xdr:cNvPr id="15" name="Group 14">
          <a:extLst>
            <a:ext uri="{FF2B5EF4-FFF2-40B4-BE49-F238E27FC236}">
              <a16:creationId xmlns:a16="http://schemas.microsoft.com/office/drawing/2014/main" id="{0D80FBE1-B7D7-48DA-B430-570726C3521D}"/>
            </a:ext>
          </a:extLst>
        </xdr:cNvPr>
        <xdr:cNvGrpSpPr/>
      </xdr:nvGrpSpPr>
      <xdr:grpSpPr>
        <a:xfrm>
          <a:off x="5000625" y="96628"/>
          <a:ext cx="4792663" cy="554037"/>
          <a:chOff x="7155657" y="619126"/>
          <a:chExt cx="4792663" cy="547687"/>
        </a:xfrm>
      </xdr:grpSpPr>
      <xdr:grpSp>
        <xdr:nvGrpSpPr>
          <xdr:cNvPr id="16" name="Group 15">
            <a:extLst>
              <a:ext uri="{FF2B5EF4-FFF2-40B4-BE49-F238E27FC236}">
                <a16:creationId xmlns:a16="http://schemas.microsoft.com/office/drawing/2014/main" id="{74AC77F3-00EE-A932-E834-386D7B51DC0A}"/>
              </a:ext>
            </a:extLst>
          </xdr:cNvPr>
          <xdr:cNvGrpSpPr/>
        </xdr:nvGrpSpPr>
        <xdr:grpSpPr>
          <a:xfrm>
            <a:off x="7155657" y="622301"/>
            <a:ext cx="4789488" cy="544512"/>
            <a:chOff x="7155657" y="622301"/>
            <a:chExt cx="4789488" cy="544512"/>
          </a:xfrm>
        </xdr:grpSpPr>
        <xdr:sp macro="" textlink="">
          <xdr:nvSpPr>
            <xdr:cNvPr id="18" name="Rectangle: Rounded Corners 17">
              <a:extLst>
                <a:ext uri="{FF2B5EF4-FFF2-40B4-BE49-F238E27FC236}">
                  <a16:creationId xmlns:a16="http://schemas.microsoft.com/office/drawing/2014/main" id="{2311C797-E943-8E1D-B001-B9306E41CF48}"/>
                </a:ext>
              </a:extLst>
            </xdr:cNvPr>
            <xdr:cNvSpPr/>
          </xdr:nvSpPr>
          <xdr:spPr>
            <a:xfrm>
              <a:off x="7155657" y="622301"/>
              <a:ext cx="4789488" cy="544512"/>
            </a:xfrm>
            <a:prstGeom prst="roundRect">
              <a:avLst>
                <a:gd name="adj" fmla="val 18310"/>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pic>
          <xdr:nvPicPr>
            <xdr:cNvPr id="19" name="Picture 18">
              <a:hlinkClick xmlns:r="http://schemas.openxmlformats.org/officeDocument/2006/relationships" r:id="rId1"/>
              <a:extLst>
                <a:ext uri="{FF2B5EF4-FFF2-40B4-BE49-F238E27FC236}">
                  <a16:creationId xmlns:a16="http://schemas.microsoft.com/office/drawing/2014/main" id="{4341EB75-B8A5-AF8A-B0C7-7E49348BA0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22760" y="696257"/>
              <a:ext cx="317650" cy="304592"/>
            </a:xfrm>
            <a:prstGeom prst="rect">
              <a:avLst/>
            </a:prstGeom>
          </xdr:spPr>
        </xdr:pic>
        <xdr:pic>
          <xdr:nvPicPr>
            <xdr:cNvPr id="20" name="Picture 19">
              <a:hlinkClick xmlns:r="http://schemas.openxmlformats.org/officeDocument/2006/relationships" r:id="rId3"/>
              <a:extLst>
                <a:ext uri="{FF2B5EF4-FFF2-40B4-BE49-F238E27FC236}">
                  <a16:creationId xmlns:a16="http://schemas.microsoft.com/office/drawing/2014/main" id="{71EEA82B-589B-62FC-F9ED-B2B748AE3E1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365057" y="688243"/>
              <a:ext cx="324000" cy="320620"/>
            </a:xfrm>
            <a:prstGeom prst="rect">
              <a:avLst/>
            </a:prstGeom>
          </xdr:spPr>
        </xdr:pic>
      </xdr:grpSp>
      <xdr:pic>
        <xdr:nvPicPr>
          <xdr:cNvPr id="17" name="Picture 16">
            <a:hlinkClick xmlns:r="http://schemas.openxmlformats.org/officeDocument/2006/relationships" r:id="rId5"/>
            <a:extLst>
              <a:ext uri="{FF2B5EF4-FFF2-40B4-BE49-F238E27FC236}">
                <a16:creationId xmlns:a16="http://schemas.microsoft.com/office/drawing/2014/main" id="{76004095-A6D9-0F91-0FC5-1813F54610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17594" y="688141"/>
            <a:ext cx="323286" cy="320825"/>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333375</xdr:colOff>
      <xdr:row>5</xdr:row>
      <xdr:rowOff>19048</xdr:rowOff>
    </xdr:from>
    <xdr:to>
      <xdr:col>26</xdr:col>
      <xdr:colOff>217486</xdr:colOff>
      <xdr:row>41</xdr:row>
      <xdr:rowOff>160337</xdr:rowOff>
    </xdr:to>
    <xdr:sp macro="" textlink="">
      <xdr:nvSpPr>
        <xdr:cNvPr id="2" name="Rectangle: Rounded Corners 1">
          <a:extLst>
            <a:ext uri="{FF2B5EF4-FFF2-40B4-BE49-F238E27FC236}">
              <a16:creationId xmlns:a16="http://schemas.microsoft.com/office/drawing/2014/main" id="{FED0215C-C13D-3FDA-DF9E-4204FDD80501}"/>
            </a:ext>
          </a:extLst>
        </xdr:cNvPr>
        <xdr:cNvSpPr/>
      </xdr:nvSpPr>
      <xdr:spPr>
        <a:xfrm>
          <a:off x="3369469" y="912017"/>
          <a:ext cx="12635705" cy="6570664"/>
        </a:xfrm>
        <a:prstGeom prst="roundRect">
          <a:avLst>
            <a:gd name="adj" fmla="val 4220"/>
          </a:avLst>
        </a:prstGeom>
        <a:solidFill>
          <a:srgbClr val="000D0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26186</xdr:colOff>
      <xdr:row>10</xdr:row>
      <xdr:rowOff>26189</xdr:rowOff>
    </xdr:from>
    <xdr:to>
      <xdr:col>10</xdr:col>
      <xdr:colOff>45311</xdr:colOff>
      <xdr:row>16</xdr:row>
      <xdr:rowOff>142627</xdr:rowOff>
    </xdr:to>
    <xdr:sp macro="" textlink="">
      <xdr:nvSpPr>
        <xdr:cNvPr id="3" name="Rectangle: Rounded Corners 2">
          <a:extLst>
            <a:ext uri="{FF2B5EF4-FFF2-40B4-BE49-F238E27FC236}">
              <a16:creationId xmlns:a16="http://schemas.microsoft.com/office/drawing/2014/main" id="{76D3EBB3-F8D3-D631-0DB2-88853F71E16A}"/>
            </a:ext>
          </a:extLst>
        </xdr:cNvPr>
        <xdr:cNvSpPr/>
      </xdr:nvSpPr>
      <xdr:spPr>
        <a:xfrm>
          <a:off x="3669499" y="1812127"/>
          <a:ext cx="2448000" cy="1188000"/>
        </a:xfrm>
        <a:prstGeom prst="roundRect">
          <a:avLst>
            <a:gd name="adj" fmla="val 9614"/>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207956</xdr:colOff>
      <xdr:row>10</xdr:row>
      <xdr:rowOff>26189</xdr:rowOff>
    </xdr:from>
    <xdr:to>
      <xdr:col>14</xdr:col>
      <xdr:colOff>227081</xdr:colOff>
      <xdr:row>16</xdr:row>
      <xdr:rowOff>142627</xdr:rowOff>
    </xdr:to>
    <xdr:sp macro="" textlink="">
      <xdr:nvSpPr>
        <xdr:cNvPr id="4" name="Rectangle: Rounded Corners 3">
          <a:extLst>
            <a:ext uri="{FF2B5EF4-FFF2-40B4-BE49-F238E27FC236}">
              <a16:creationId xmlns:a16="http://schemas.microsoft.com/office/drawing/2014/main" id="{F2D53C58-5E80-9988-E7B2-823BBC9809F0}"/>
            </a:ext>
          </a:extLst>
        </xdr:cNvPr>
        <xdr:cNvSpPr/>
      </xdr:nvSpPr>
      <xdr:spPr>
        <a:xfrm>
          <a:off x="6280144" y="1812127"/>
          <a:ext cx="2448000" cy="1188000"/>
        </a:xfrm>
        <a:prstGeom prst="roundRect">
          <a:avLst>
            <a:gd name="adj" fmla="val 9614"/>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29361</xdr:colOff>
      <xdr:row>17</xdr:row>
      <xdr:rowOff>94851</xdr:rowOff>
    </xdr:from>
    <xdr:to>
      <xdr:col>10</xdr:col>
      <xdr:colOff>48486</xdr:colOff>
      <xdr:row>24</xdr:row>
      <xdr:rowOff>32695</xdr:rowOff>
    </xdr:to>
    <xdr:sp macro="" textlink="">
      <xdr:nvSpPr>
        <xdr:cNvPr id="5" name="Rectangle: Rounded Corners 4">
          <a:extLst>
            <a:ext uri="{FF2B5EF4-FFF2-40B4-BE49-F238E27FC236}">
              <a16:creationId xmlns:a16="http://schemas.microsoft.com/office/drawing/2014/main" id="{242FABA5-0164-A682-FEBD-646D9F414C4D}"/>
            </a:ext>
          </a:extLst>
        </xdr:cNvPr>
        <xdr:cNvSpPr/>
      </xdr:nvSpPr>
      <xdr:spPr>
        <a:xfrm>
          <a:off x="3672674" y="3130945"/>
          <a:ext cx="2448000" cy="1188000"/>
        </a:xfrm>
        <a:prstGeom prst="roundRect">
          <a:avLst>
            <a:gd name="adj" fmla="val 9614"/>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207956</xdr:colOff>
      <xdr:row>17</xdr:row>
      <xdr:rowOff>94851</xdr:rowOff>
    </xdr:from>
    <xdr:to>
      <xdr:col>14</xdr:col>
      <xdr:colOff>227081</xdr:colOff>
      <xdr:row>24</xdr:row>
      <xdr:rowOff>26345</xdr:rowOff>
    </xdr:to>
    <xdr:sp macro="" textlink="">
      <xdr:nvSpPr>
        <xdr:cNvPr id="6" name="Rectangle: Rounded Corners 5">
          <a:extLst>
            <a:ext uri="{FF2B5EF4-FFF2-40B4-BE49-F238E27FC236}">
              <a16:creationId xmlns:a16="http://schemas.microsoft.com/office/drawing/2014/main" id="{A4B6037D-B087-735F-62CF-EF15F55C18AA}"/>
            </a:ext>
          </a:extLst>
        </xdr:cNvPr>
        <xdr:cNvSpPr/>
      </xdr:nvSpPr>
      <xdr:spPr>
        <a:xfrm>
          <a:off x="6280144" y="3130945"/>
          <a:ext cx="2448000" cy="1181650"/>
        </a:xfrm>
        <a:prstGeom prst="roundRect">
          <a:avLst>
            <a:gd name="adj" fmla="val 9614"/>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371468</xdr:colOff>
      <xdr:row>10</xdr:row>
      <xdr:rowOff>26189</xdr:rowOff>
    </xdr:from>
    <xdr:to>
      <xdr:col>25</xdr:col>
      <xdr:colOff>440531</xdr:colOff>
      <xdr:row>24</xdr:row>
      <xdr:rowOff>65881</xdr:rowOff>
    </xdr:to>
    <xdr:sp macro="" textlink="">
      <xdr:nvSpPr>
        <xdr:cNvPr id="7" name="Rectangle: Rounded Corners 6">
          <a:extLst>
            <a:ext uri="{FF2B5EF4-FFF2-40B4-BE49-F238E27FC236}">
              <a16:creationId xmlns:a16="http://schemas.microsoft.com/office/drawing/2014/main" id="{3A9D7564-71FE-6D08-C73F-3965B1FE560E}"/>
            </a:ext>
          </a:extLst>
        </xdr:cNvPr>
        <xdr:cNvSpPr/>
      </xdr:nvSpPr>
      <xdr:spPr>
        <a:xfrm>
          <a:off x="8872531" y="1812127"/>
          <a:ext cx="6748469" cy="2540004"/>
        </a:xfrm>
        <a:prstGeom prst="roundRect">
          <a:avLst>
            <a:gd name="adj" fmla="val 443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14</xdr:col>
      <xdr:colOff>371468</xdr:colOff>
      <xdr:row>25</xdr:row>
      <xdr:rowOff>69056</xdr:rowOff>
    </xdr:from>
    <xdr:to>
      <xdr:col>25</xdr:col>
      <xdr:colOff>449262</xdr:colOff>
      <xdr:row>40</xdr:row>
      <xdr:rowOff>88898</xdr:rowOff>
    </xdr:to>
    <xdr:sp macro="" textlink="">
      <xdr:nvSpPr>
        <xdr:cNvPr id="8" name="Rectangle: Rounded Corners 7">
          <a:extLst>
            <a:ext uri="{FF2B5EF4-FFF2-40B4-BE49-F238E27FC236}">
              <a16:creationId xmlns:a16="http://schemas.microsoft.com/office/drawing/2014/main" id="{835CB655-6D3D-C177-B765-8FAD42E76280}"/>
            </a:ext>
          </a:extLst>
        </xdr:cNvPr>
        <xdr:cNvSpPr/>
      </xdr:nvSpPr>
      <xdr:spPr>
        <a:xfrm>
          <a:off x="8872531" y="4533900"/>
          <a:ext cx="6757200" cy="2698748"/>
        </a:xfrm>
        <a:prstGeom prst="roundRect">
          <a:avLst>
            <a:gd name="adj" fmla="val 5657"/>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6</xdr:col>
      <xdr:colOff>50799</xdr:colOff>
      <xdr:row>24</xdr:row>
      <xdr:rowOff>160341</xdr:rowOff>
    </xdr:from>
    <xdr:to>
      <xdr:col>14</xdr:col>
      <xdr:colOff>227081</xdr:colOff>
      <xdr:row>40</xdr:row>
      <xdr:rowOff>85723</xdr:rowOff>
    </xdr:to>
    <xdr:sp macro="" textlink="">
      <xdr:nvSpPr>
        <xdr:cNvPr id="9" name="Rectangle: Rounded Corners 8">
          <a:extLst>
            <a:ext uri="{FF2B5EF4-FFF2-40B4-BE49-F238E27FC236}">
              <a16:creationId xmlns:a16="http://schemas.microsoft.com/office/drawing/2014/main" id="{556745C3-6BCD-E385-A61A-D7AF37A7C821}"/>
            </a:ext>
          </a:extLst>
        </xdr:cNvPr>
        <xdr:cNvSpPr/>
      </xdr:nvSpPr>
      <xdr:spPr>
        <a:xfrm>
          <a:off x="3694112" y="4446591"/>
          <a:ext cx="5034032" cy="2782882"/>
        </a:xfrm>
        <a:prstGeom prst="roundRect">
          <a:avLst>
            <a:gd name="adj" fmla="val 4908"/>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207956</xdr:colOff>
      <xdr:row>10</xdr:row>
      <xdr:rowOff>26189</xdr:rowOff>
    </xdr:from>
    <xdr:to>
      <xdr:col>14</xdr:col>
      <xdr:colOff>227081</xdr:colOff>
      <xdr:row>16</xdr:row>
      <xdr:rowOff>142627</xdr:rowOff>
    </xdr:to>
    <xdr:sp macro="" textlink="">
      <xdr:nvSpPr>
        <xdr:cNvPr id="10" name="Rectangle: Rounded Corners 9">
          <a:extLst>
            <a:ext uri="{FF2B5EF4-FFF2-40B4-BE49-F238E27FC236}">
              <a16:creationId xmlns:a16="http://schemas.microsoft.com/office/drawing/2014/main" id="{73993477-A055-4F80-A49A-6DC40288F048}"/>
            </a:ext>
          </a:extLst>
        </xdr:cNvPr>
        <xdr:cNvSpPr/>
      </xdr:nvSpPr>
      <xdr:spPr>
        <a:xfrm>
          <a:off x="6280144" y="1812127"/>
          <a:ext cx="2448000" cy="1188000"/>
        </a:xfrm>
        <a:prstGeom prst="roundRect">
          <a:avLst>
            <a:gd name="adj" fmla="val 9614"/>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6</xdr:col>
      <xdr:colOff>29361</xdr:colOff>
      <xdr:row>7</xdr:row>
      <xdr:rowOff>148427</xdr:rowOff>
    </xdr:from>
    <xdr:to>
      <xdr:col>6</xdr:col>
      <xdr:colOff>353361</xdr:colOff>
      <xdr:row>9</xdr:row>
      <xdr:rowOff>97733</xdr:rowOff>
    </xdr:to>
    <xdr:pic>
      <xdr:nvPicPr>
        <xdr:cNvPr id="21" name="Picture 20">
          <a:extLst>
            <a:ext uri="{FF2B5EF4-FFF2-40B4-BE49-F238E27FC236}">
              <a16:creationId xmlns:a16="http://schemas.microsoft.com/office/drawing/2014/main" id="{E5CFC4C1-75C3-0BB8-F6EA-AD8A7E8E86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72674" y="1398583"/>
          <a:ext cx="324000" cy="306494"/>
        </a:xfrm>
        <a:prstGeom prst="rect">
          <a:avLst/>
        </a:prstGeom>
      </xdr:spPr>
    </xdr:pic>
    <xdr:clientData/>
  </xdr:twoCellAnchor>
  <xdr:twoCellAnchor>
    <xdr:from>
      <xdr:col>11</xdr:col>
      <xdr:colOff>476251</xdr:colOff>
      <xdr:row>3</xdr:row>
      <xdr:rowOff>83345</xdr:rowOff>
    </xdr:from>
    <xdr:to>
      <xdr:col>19</xdr:col>
      <xdr:colOff>411164</xdr:colOff>
      <xdr:row>6</xdr:row>
      <xdr:rowOff>95250</xdr:rowOff>
    </xdr:to>
    <xdr:grpSp>
      <xdr:nvGrpSpPr>
        <xdr:cNvPr id="61" name="Group 60">
          <a:extLst>
            <a:ext uri="{FF2B5EF4-FFF2-40B4-BE49-F238E27FC236}">
              <a16:creationId xmlns:a16="http://schemas.microsoft.com/office/drawing/2014/main" id="{86C9A130-A854-FCE1-1C1C-73ADBC059E0B}"/>
            </a:ext>
          </a:extLst>
        </xdr:cNvPr>
        <xdr:cNvGrpSpPr/>
      </xdr:nvGrpSpPr>
      <xdr:grpSpPr>
        <a:xfrm>
          <a:off x="7155657" y="622301"/>
          <a:ext cx="4789488" cy="544512"/>
          <a:chOff x="7155657" y="619126"/>
          <a:chExt cx="4792663" cy="547687"/>
        </a:xfrm>
      </xdr:grpSpPr>
      <xdr:grpSp>
        <xdr:nvGrpSpPr>
          <xdr:cNvPr id="60" name="Group 59">
            <a:extLst>
              <a:ext uri="{FF2B5EF4-FFF2-40B4-BE49-F238E27FC236}">
                <a16:creationId xmlns:a16="http://schemas.microsoft.com/office/drawing/2014/main" id="{85555BD3-658E-374E-BC65-897614498A39}"/>
              </a:ext>
            </a:extLst>
          </xdr:cNvPr>
          <xdr:cNvGrpSpPr/>
        </xdr:nvGrpSpPr>
        <xdr:grpSpPr>
          <a:xfrm>
            <a:off x="7155657" y="622301"/>
            <a:ext cx="4789488" cy="544512"/>
            <a:chOff x="7155657" y="622301"/>
            <a:chExt cx="4789488" cy="544512"/>
          </a:xfrm>
        </xdr:grpSpPr>
        <xdr:sp macro="" textlink="">
          <xdr:nvSpPr>
            <xdr:cNvPr id="11" name="Rectangle: Rounded Corners 10">
              <a:extLst>
                <a:ext uri="{FF2B5EF4-FFF2-40B4-BE49-F238E27FC236}">
                  <a16:creationId xmlns:a16="http://schemas.microsoft.com/office/drawing/2014/main" id="{425C7FB4-574A-82CB-E1AB-4FAE9F613DA0}"/>
                </a:ext>
              </a:extLst>
            </xdr:cNvPr>
            <xdr:cNvSpPr/>
          </xdr:nvSpPr>
          <xdr:spPr>
            <a:xfrm>
              <a:off x="7155657" y="622301"/>
              <a:ext cx="4789488" cy="544512"/>
            </a:xfrm>
            <a:prstGeom prst="roundRect">
              <a:avLst>
                <a:gd name="adj" fmla="val 18310"/>
              </a:avLst>
            </a:prstGeom>
            <a:solidFill>
              <a:srgbClr val="001C1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pic>
          <xdr:nvPicPr>
            <xdr:cNvPr id="17" name="Picture 16">
              <a:hlinkClick xmlns:r="http://schemas.openxmlformats.org/officeDocument/2006/relationships" r:id="rId2"/>
              <a:extLst>
                <a:ext uri="{FF2B5EF4-FFF2-40B4-BE49-F238E27FC236}">
                  <a16:creationId xmlns:a16="http://schemas.microsoft.com/office/drawing/2014/main" id="{08E3EFCF-7AD7-570D-3B3E-EE1366D58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322760" y="696257"/>
              <a:ext cx="317650" cy="304592"/>
            </a:xfrm>
            <a:prstGeom prst="rect">
              <a:avLst/>
            </a:prstGeom>
          </xdr:spPr>
        </xdr:pic>
        <xdr:pic>
          <xdr:nvPicPr>
            <xdr:cNvPr id="29" name="Picture 28">
              <a:hlinkClick xmlns:r="http://schemas.openxmlformats.org/officeDocument/2006/relationships" r:id="rId4"/>
              <a:extLst>
                <a:ext uri="{FF2B5EF4-FFF2-40B4-BE49-F238E27FC236}">
                  <a16:creationId xmlns:a16="http://schemas.microsoft.com/office/drawing/2014/main" id="{53E71975-D73E-CE03-6827-2C5F07AA5B3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365057" y="688243"/>
              <a:ext cx="324000" cy="320620"/>
            </a:xfrm>
            <a:prstGeom prst="rect">
              <a:avLst/>
            </a:prstGeom>
          </xdr:spPr>
        </xdr:pic>
      </xdr:grpSp>
      <xdr:pic>
        <xdr:nvPicPr>
          <xdr:cNvPr id="31" name="Picture 30">
            <a:hlinkClick xmlns:r="http://schemas.openxmlformats.org/officeDocument/2006/relationships" r:id="rId6"/>
            <a:extLst>
              <a:ext uri="{FF2B5EF4-FFF2-40B4-BE49-F238E27FC236}">
                <a16:creationId xmlns:a16="http://schemas.microsoft.com/office/drawing/2014/main" id="{DFD7A9C5-608D-B384-DC10-A06A3783CEA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417594" y="688141"/>
            <a:ext cx="323286" cy="320825"/>
          </a:xfrm>
          <a:prstGeom prst="rect">
            <a:avLst/>
          </a:prstGeom>
        </xdr:spPr>
      </xdr:pic>
    </xdr:grpSp>
    <xdr:clientData/>
  </xdr:twoCellAnchor>
  <xdr:twoCellAnchor>
    <xdr:from>
      <xdr:col>6</xdr:col>
      <xdr:colOff>47624</xdr:colOff>
      <xdr:row>10</xdr:row>
      <xdr:rowOff>29364</xdr:rowOff>
    </xdr:from>
    <xdr:to>
      <xdr:col>8</xdr:col>
      <xdr:colOff>64208</xdr:colOff>
      <xdr:row>11</xdr:row>
      <xdr:rowOff>86764</xdr:rowOff>
    </xdr:to>
    <xdr:sp macro="" textlink="">
      <xdr:nvSpPr>
        <xdr:cNvPr id="32" name="TextBox 31">
          <a:extLst>
            <a:ext uri="{FF2B5EF4-FFF2-40B4-BE49-F238E27FC236}">
              <a16:creationId xmlns:a16="http://schemas.microsoft.com/office/drawing/2014/main" id="{C3B28864-D2F9-49EC-8CFC-0092E2D4F5A5}"/>
            </a:ext>
          </a:extLst>
        </xdr:cNvPr>
        <xdr:cNvSpPr txBox="1"/>
      </xdr:nvSpPr>
      <xdr:spPr>
        <a:xfrm>
          <a:off x="3690937" y="1815302"/>
          <a:ext cx="1231021" cy="235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Sales</a:t>
          </a:r>
          <a:endParaRPr lang="en-KE" sz="1400" b="1">
            <a:solidFill>
              <a:srgbClr val="8AA2A4"/>
            </a:solidFill>
          </a:endParaRPr>
        </a:p>
      </xdr:txBody>
    </xdr:sp>
    <xdr:clientData/>
  </xdr:twoCellAnchor>
  <xdr:twoCellAnchor>
    <xdr:from>
      <xdr:col>6</xdr:col>
      <xdr:colOff>50799</xdr:colOff>
      <xdr:row>18</xdr:row>
      <xdr:rowOff>18506</xdr:rowOff>
    </xdr:from>
    <xdr:to>
      <xdr:col>8</xdr:col>
      <xdr:colOff>54683</xdr:colOff>
      <xdr:row>19</xdr:row>
      <xdr:rowOff>66381</xdr:rowOff>
    </xdr:to>
    <xdr:sp macro="" textlink="">
      <xdr:nvSpPr>
        <xdr:cNvPr id="33" name="TextBox 32">
          <a:extLst>
            <a:ext uri="{FF2B5EF4-FFF2-40B4-BE49-F238E27FC236}">
              <a16:creationId xmlns:a16="http://schemas.microsoft.com/office/drawing/2014/main" id="{BFC81FD3-85AB-4532-4A73-43DC6CB4FE3B}"/>
            </a:ext>
          </a:extLst>
        </xdr:cNvPr>
        <xdr:cNvSpPr txBox="1"/>
      </xdr:nvSpPr>
      <xdr:spPr>
        <a:xfrm>
          <a:off x="3694112" y="3233194"/>
          <a:ext cx="1218321" cy="22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Cost</a:t>
          </a:r>
          <a:endParaRPr lang="en-KE" sz="1400" b="1">
            <a:solidFill>
              <a:srgbClr val="8AA2A4"/>
            </a:solidFill>
          </a:endParaRPr>
        </a:p>
      </xdr:txBody>
    </xdr:sp>
    <xdr:clientData/>
  </xdr:twoCellAnchor>
  <xdr:twoCellAnchor>
    <xdr:from>
      <xdr:col>10</xdr:col>
      <xdr:colOff>274219</xdr:colOff>
      <xdr:row>18</xdr:row>
      <xdr:rowOff>18506</xdr:rowOff>
    </xdr:from>
    <xdr:to>
      <xdr:col>12</xdr:col>
      <xdr:colOff>287628</xdr:colOff>
      <xdr:row>19</xdr:row>
      <xdr:rowOff>69556</xdr:rowOff>
    </xdr:to>
    <xdr:sp macro="" textlink="">
      <xdr:nvSpPr>
        <xdr:cNvPr id="34" name="TextBox 33">
          <a:extLst>
            <a:ext uri="{FF2B5EF4-FFF2-40B4-BE49-F238E27FC236}">
              <a16:creationId xmlns:a16="http://schemas.microsoft.com/office/drawing/2014/main" id="{312DA596-F36C-F275-998E-5FB27D2D0796}"/>
            </a:ext>
          </a:extLst>
        </xdr:cNvPr>
        <xdr:cNvSpPr txBox="1"/>
      </xdr:nvSpPr>
      <xdr:spPr>
        <a:xfrm>
          <a:off x="6346407" y="3233194"/>
          <a:ext cx="1227846" cy="229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Profit</a:t>
          </a:r>
          <a:endParaRPr lang="en-KE" sz="1400" b="1">
            <a:solidFill>
              <a:srgbClr val="8AA2A4"/>
            </a:solidFill>
          </a:endParaRPr>
        </a:p>
      </xdr:txBody>
    </xdr:sp>
    <xdr:clientData/>
  </xdr:twoCellAnchor>
  <xdr:twoCellAnchor>
    <xdr:from>
      <xdr:col>10</xdr:col>
      <xdr:colOff>274219</xdr:colOff>
      <xdr:row>10</xdr:row>
      <xdr:rowOff>26189</xdr:rowOff>
    </xdr:from>
    <xdr:to>
      <xdr:col>12</xdr:col>
      <xdr:colOff>297153</xdr:colOff>
      <xdr:row>11</xdr:row>
      <xdr:rowOff>74064</xdr:rowOff>
    </xdr:to>
    <xdr:sp macro="" textlink="">
      <xdr:nvSpPr>
        <xdr:cNvPr id="35" name="TextBox 34">
          <a:extLst>
            <a:ext uri="{FF2B5EF4-FFF2-40B4-BE49-F238E27FC236}">
              <a16:creationId xmlns:a16="http://schemas.microsoft.com/office/drawing/2014/main" id="{21F8C083-093C-A61C-F34B-D97F27E93CB8}"/>
            </a:ext>
          </a:extLst>
        </xdr:cNvPr>
        <xdr:cNvSpPr txBox="1"/>
      </xdr:nvSpPr>
      <xdr:spPr>
        <a:xfrm>
          <a:off x="6346407" y="1812127"/>
          <a:ext cx="1237371" cy="22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Quantity</a:t>
          </a:r>
          <a:endParaRPr lang="en-KE" sz="1400" b="1">
            <a:solidFill>
              <a:srgbClr val="8AA2A4"/>
            </a:solidFill>
          </a:endParaRPr>
        </a:p>
      </xdr:txBody>
    </xdr:sp>
    <xdr:clientData/>
  </xdr:twoCellAnchor>
  <xdr:twoCellAnchor>
    <xdr:from>
      <xdr:col>6</xdr:col>
      <xdr:colOff>47624</xdr:colOff>
      <xdr:row>26</xdr:row>
      <xdr:rowOff>10026</xdr:rowOff>
    </xdr:from>
    <xdr:to>
      <xdr:col>11</xdr:col>
      <xdr:colOff>556359</xdr:colOff>
      <xdr:row>28</xdr:row>
      <xdr:rowOff>0</xdr:rowOff>
    </xdr:to>
    <xdr:sp macro="" textlink="">
      <xdr:nvSpPr>
        <xdr:cNvPr id="36" name="TextBox 35">
          <a:extLst>
            <a:ext uri="{FF2B5EF4-FFF2-40B4-BE49-F238E27FC236}">
              <a16:creationId xmlns:a16="http://schemas.microsoft.com/office/drawing/2014/main" id="{7B6B1766-855C-BA5E-D3F3-C4FE6CBEA61A}"/>
            </a:ext>
          </a:extLst>
        </xdr:cNvPr>
        <xdr:cNvSpPr txBox="1"/>
      </xdr:nvSpPr>
      <xdr:spPr>
        <a:xfrm>
          <a:off x="3690937" y="4653464"/>
          <a:ext cx="3544828" cy="347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Regional</a:t>
          </a:r>
          <a:r>
            <a:rPr lang="en-US" sz="1400" b="1" baseline="0">
              <a:solidFill>
                <a:srgbClr val="8AA2A4"/>
              </a:solidFill>
            </a:rPr>
            <a:t> Sales Distribution</a:t>
          </a:r>
          <a:endParaRPr lang="en-KE" sz="1400" b="1">
            <a:solidFill>
              <a:srgbClr val="8AA2A4"/>
            </a:solidFill>
          </a:endParaRPr>
        </a:p>
      </xdr:txBody>
    </xdr:sp>
    <xdr:clientData/>
  </xdr:twoCellAnchor>
  <xdr:twoCellAnchor>
    <xdr:from>
      <xdr:col>14</xdr:col>
      <xdr:colOff>467905</xdr:colOff>
      <xdr:row>26</xdr:row>
      <xdr:rowOff>10025</xdr:rowOff>
    </xdr:from>
    <xdr:to>
      <xdr:col>22</xdr:col>
      <xdr:colOff>-1</xdr:colOff>
      <xdr:row>28</xdr:row>
      <xdr:rowOff>0</xdr:rowOff>
    </xdr:to>
    <xdr:sp macro="" textlink="">
      <xdr:nvSpPr>
        <xdr:cNvPr id="37" name="TextBox 36">
          <a:extLst>
            <a:ext uri="{FF2B5EF4-FFF2-40B4-BE49-F238E27FC236}">
              <a16:creationId xmlns:a16="http://schemas.microsoft.com/office/drawing/2014/main" id="{E5861F55-961F-C208-B12C-58DE17A2CD90}"/>
            </a:ext>
          </a:extLst>
        </xdr:cNvPr>
        <xdr:cNvSpPr txBox="1"/>
      </xdr:nvSpPr>
      <xdr:spPr>
        <a:xfrm>
          <a:off x="8968968" y="4653463"/>
          <a:ext cx="4389844" cy="34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Product-wise</a:t>
          </a:r>
          <a:r>
            <a:rPr lang="en-US" sz="1400" b="1" baseline="0">
              <a:solidFill>
                <a:srgbClr val="8AA2A4"/>
              </a:solidFill>
            </a:rPr>
            <a:t> Sales Breakdown</a:t>
          </a:r>
          <a:endParaRPr lang="en-KE" sz="1400" b="1">
            <a:solidFill>
              <a:srgbClr val="8AA2A4"/>
            </a:solidFill>
          </a:endParaRPr>
        </a:p>
      </xdr:txBody>
    </xdr:sp>
    <xdr:clientData/>
  </xdr:twoCellAnchor>
  <xdr:twoCellAnchor>
    <xdr:from>
      <xdr:col>14</xdr:col>
      <xdr:colOff>467905</xdr:colOff>
      <xdr:row>10</xdr:row>
      <xdr:rowOff>106905</xdr:rowOff>
    </xdr:from>
    <xdr:to>
      <xdr:col>23</xdr:col>
      <xdr:colOff>579836</xdr:colOff>
      <xdr:row>12</xdr:row>
      <xdr:rowOff>0</xdr:rowOff>
    </xdr:to>
    <xdr:sp macro="" textlink="">
      <xdr:nvSpPr>
        <xdr:cNvPr id="38" name="TextBox 37">
          <a:extLst>
            <a:ext uri="{FF2B5EF4-FFF2-40B4-BE49-F238E27FC236}">
              <a16:creationId xmlns:a16="http://schemas.microsoft.com/office/drawing/2014/main" id="{D764B9DE-A600-B5AC-54F1-EDB2DD7DFB10}"/>
            </a:ext>
          </a:extLst>
        </xdr:cNvPr>
        <xdr:cNvSpPr txBox="1"/>
      </xdr:nvSpPr>
      <xdr:spPr>
        <a:xfrm>
          <a:off x="8968968" y="1892843"/>
          <a:ext cx="5576899" cy="25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Monthly</a:t>
          </a:r>
          <a:r>
            <a:rPr lang="en-US" sz="1400" b="1" baseline="0">
              <a:solidFill>
                <a:srgbClr val="8AA2A4"/>
              </a:solidFill>
            </a:rPr>
            <a:t> Revenue Trend 2023 Vs 2024</a:t>
          </a:r>
          <a:endParaRPr lang="en-KE" sz="1400" b="1">
            <a:solidFill>
              <a:srgbClr val="8AA2A4"/>
            </a:solidFill>
          </a:endParaRPr>
        </a:p>
      </xdr:txBody>
    </xdr:sp>
    <xdr:clientData/>
  </xdr:twoCellAnchor>
  <xdr:twoCellAnchor>
    <xdr:from>
      <xdr:col>6</xdr:col>
      <xdr:colOff>350186</xdr:colOff>
      <xdr:row>8</xdr:row>
      <xdr:rowOff>11907</xdr:rowOff>
    </xdr:from>
    <xdr:to>
      <xdr:col>13</xdr:col>
      <xdr:colOff>350186</xdr:colOff>
      <xdr:row>10</xdr:row>
      <xdr:rowOff>11907</xdr:rowOff>
    </xdr:to>
    <xdr:sp macro="" textlink="">
      <xdr:nvSpPr>
        <xdr:cNvPr id="39" name="TextBox 38">
          <a:extLst>
            <a:ext uri="{FF2B5EF4-FFF2-40B4-BE49-F238E27FC236}">
              <a16:creationId xmlns:a16="http://schemas.microsoft.com/office/drawing/2014/main" id="{AF46F177-9714-133F-F7EE-E6366DB0540B}"/>
            </a:ext>
          </a:extLst>
        </xdr:cNvPr>
        <xdr:cNvSpPr txBox="1"/>
      </xdr:nvSpPr>
      <xdr:spPr>
        <a:xfrm>
          <a:off x="3993499" y="1440657"/>
          <a:ext cx="4250531"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AA2A4"/>
              </a:solidFill>
            </a:rPr>
            <a:t>Sales</a:t>
          </a:r>
          <a:r>
            <a:rPr lang="en-US" sz="1400" b="1" baseline="0">
              <a:solidFill>
                <a:srgbClr val="8AA2A4"/>
              </a:solidFill>
            </a:rPr>
            <a:t> Perfromance (2023 Vs 2024)</a:t>
          </a:r>
          <a:endParaRPr lang="en-KE" sz="1400" b="1">
            <a:solidFill>
              <a:srgbClr val="8AA2A4"/>
            </a:solidFill>
          </a:endParaRPr>
        </a:p>
      </xdr:txBody>
    </xdr:sp>
    <xdr:clientData/>
  </xdr:twoCellAnchor>
  <xdr:twoCellAnchor>
    <xdr:from>
      <xdr:col>6</xdr:col>
      <xdr:colOff>47624</xdr:colOff>
      <xdr:row>11</xdr:row>
      <xdr:rowOff>163513</xdr:rowOff>
    </xdr:from>
    <xdr:to>
      <xdr:col>7</xdr:col>
      <xdr:colOff>419457</xdr:colOff>
      <xdr:row>13</xdr:row>
      <xdr:rowOff>163513</xdr:rowOff>
    </xdr:to>
    <xdr:sp macro="" textlink="Calculations!D13">
      <xdr:nvSpPr>
        <xdr:cNvPr id="40" name="TextBox 39">
          <a:extLst>
            <a:ext uri="{FF2B5EF4-FFF2-40B4-BE49-F238E27FC236}">
              <a16:creationId xmlns:a16="http://schemas.microsoft.com/office/drawing/2014/main" id="{2352305D-9345-554C-87E6-0B888B67452F}"/>
            </a:ext>
          </a:extLst>
        </xdr:cNvPr>
        <xdr:cNvSpPr txBox="1"/>
      </xdr:nvSpPr>
      <xdr:spPr>
        <a:xfrm>
          <a:off x="3690937" y="2128044"/>
          <a:ext cx="979051"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A31920-DE65-452B-99FE-0BB13E59218F}" type="TxLink">
            <a:rPr lang="en-US" sz="1800" b="1" i="0" u="none" strike="noStrike">
              <a:solidFill>
                <a:srgbClr val="BAC8C9"/>
              </a:solidFill>
              <a:latin typeface="Calibri"/>
              <a:ea typeface="Calibri"/>
              <a:cs typeface="Calibri"/>
            </a:rPr>
            <a:t>$475.6K</a:t>
          </a:fld>
          <a:endParaRPr lang="en-KE" sz="2400" b="1">
            <a:solidFill>
              <a:srgbClr val="BAC8C9"/>
            </a:solidFill>
          </a:endParaRPr>
        </a:p>
      </xdr:txBody>
    </xdr:sp>
    <xdr:clientData/>
  </xdr:twoCellAnchor>
  <xdr:twoCellAnchor>
    <xdr:from>
      <xdr:col>10</xdr:col>
      <xdr:colOff>278957</xdr:colOff>
      <xdr:row>12</xdr:row>
      <xdr:rowOff>0</xdr:rowOff>
    </xdr:from>
    <xdr:to>
      <xdr:col>12</xdr:col>
      <xdr:colOff>40396</xdr:colOff>
      <xdr:row>14</xdr:row>
      <xdr:rowOff>0</xdr:rowOff>
    </xdr:to>
    <xdr:sp macro="" textlink="Calculations!D14">
      <xdr:nvSpPr>
        <xdr:cNvPr id="41" name="TextBox 40">
          <a:extLst>
            <a:ext uri="{FF2B5EF4-FFF2-40B4-BE49-F238E27FC236}">
              <a16:creationId xmlns:a16="http://schemas.microsoft.com/office/drawing/2014/main" id="{5C611EEE-663B-E63B-69FF-06658B1D46B7}"/>
            </a:ext>
          </a:extLst>
        </xdr:cNvPr>
        <xdr:cNvSpPr txBox="1"/>
      </xdr:nvSpPr>
      <xdr:spPr>
        <a:xfrm>
          <a:off x="6351145" y="2143125"/>
          <a:ext cx="975876"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0653C7D-DB76-41A0-BD6A-AA156E894949}" type="TxLink">
            <a:rPr lang="en-US" sz="1800" b="1" i="0" u="none" strike="noStrike">
              <a:solidFill>
                <a:srgbClr val="BAC8C9"/>
              </a:solidFill>
              <a:latin typeface="Calibri"/>
              <a:ea typeface="Calibri"/>
              <a:cs typeface="Calibri"/>
            </a:rPr>
            <a:pPr marL="0" indent="0"/>
            <a:t>899</a:t>
          </a:fld>
          <a:endParaRPr lang="en-KE" sz="1800" b="1" i="0" u="none" strike="noStrike">
            <a:solidFill>
              <a:srgbClr val="BAC8C9"/>
            </a:solidFill>
            <a:latin typeface="Calibri"/>
            <a:ea typeface="Calibri"/>
            <a:cs typeface="Calibri"/>
          </a:endParaRPr>
        </a:p>
      </xdr:txBody>
    </xdr:sp>
    <xdr:clientData/>
  </xdr:twoCellAnchor>
  <xdr:twoCellAnchor>
    <xdr:from>
      <xdr:col>6</xdr:col>
      <xdr:colOff>47624</xdr:colOff>
      <xdr:row>20</xdr:row>
      <xdr:rowOff>0</xdr:rowOff>
    </xdr:from>
    <xdr:to>
      <xdr:col>7</xdr:col>
      <xdr:colOff>419457</xdr:colOff>
      <xdr:row>22</xdr:row>
      <xdr:rowOff>0</xdr:rowOff>
    </xdr:to>
    <xdr:sp macro="" textlink="Calculations!D15">
      <xdr:nvSpPr>
        <xdr:cNvPr id="42" name="TextBox 41">
          <a:extLst>
            <a:ext uri="{FF2B5EF4-FFF2-40B4-BE49-F238E27FC236}">
              <a16:creationId xmlns:a16="http://schemas.microsoft.com/office/drawing/2014/main" id="{31DC0AEA-F451-AA16-5C68-4C66E00B705E}"/>
            </a:ext>
          </a:extLst>
        </xdr:cNvPr>
        <xdr:cNvSpPr txBox="1"/>
      </xdr:nvSpPr>
      <xdr:spPr>
        <a:xfrm>
          <a:off x="3690937" y="3571875"/>
          <a:ext cx="979051"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2EB7D8-A3E5-4EED-97CA-E160C7EFE78E}" type="TxLink">
            <a:rPr lang="en-US" sz="1800" b="1" i="0" u="none" strike="noStrike">
              <a:solidFill>
                <a:srgbClr val="BAC8C9"/>
              </a:solidFill>
              <a:latin typeface="Calibri"/>
              <a:ea typeface="Calibri"/>
              <a:cs typeface="Calibri"/>
            </a:rPr>
            <a:pPr marL="0" indent="0"/>
            <a:t>$64.0K</a:t>
          </a:fld>
          <a:endParaRPr lang="en-KE" sz="1800" b="1" i="0" u="none" strike="noStrike">
            <a:solidFill>
              <a:srgbClr val="BAC8C9"/>
            </a:solidFill>
            <a:latin typeface="Calibri"/>
            <a:ea typeface="Calibri"/>
            <a:cs typeface="Calibri"/>
          </a:endParaRPr>
        </a:p>
      </xdr:txBody>
    </xdr:sp>
    <xdr:clientData/>
  </xdr:twoCellAnchor>
  <xdr:twoCellAnchor>
    <xdr:from>
      <xdr:col>10</xdr:col>
      <xdr:colOff>278957</xdr:colOff>
      <xdr:row>20</xdr:row>
      <xdr:rowOff>8732</xdr:rowOff>
    </xdr:from>
    <xdr:to>
      <xdr:col>12</xdr:col>
      <xdr:colOff>49921</xdr:colOff>
      <xdr:row>22</xdr:row>
      <xdr:rowOff>8732</xdr:rowOff>
    </xdr:to>
    <xdr:sp macro="" textlink="Calculations!D16">
      <xdr:nvSpPr>
        <xdr:cNvPr id="43" name="TextBox 42">
          <a:extLst>
            <a:ext uri="{FF2B5EF4-FFF2-40B4-BE49-F238E27FC236}">
              <a16:creationId xmlns:a16="http://schemas.microsoft.com/office/drawing/2014/main" id="{15E704BC-0732-10CE-AC16-E794B7FD535E}"/>
            </a:ext>
          </a:extLst>
        </xdr:cNvPr>
        <xdr:cNvSpPr txBox="1"/>
      </xdr:nvSpPr>
      <xdr:spPr>
        <a:xfrm>
          <a:off x="6351145" y="3580607"/>
          <a:ext cx="985401"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447B96-3592-4F8A-9EC5-6122F79241FD}" type="TxLink">
            <a:rPr lang="en-US" sz="1800" b="1" i="0" u="none" strike="noStrike">
              <a:solidFill>
                <a:srgbClr val="BAC8C9"/>
              </a:solidFill>
              <a:latin typeface="Calibri"/>
              <a:ea typeface="Calibri"/>
              <a:cs typeface="Calibri"/>
            </a:rPr>
            <a:pPr marL="0" indent="0"/>
            <a:t>$411.6K</a:t>
          </a:fld>
          <a:endParaRPr lang="en-KE" sz="1800" b="1" i="0" u="none" strike="noStrike">
            <a:solidFill>
              <a:srgbClr val="BAC8C9"/>
            </a:solidFill>
            <a:latin typeface="Calibri"/>
            <a:ea typeface="Calibri"/>
            <a:cs typeface="Calibri"/>
          </a:endParaRPr>
        </a:p>
      </xdr:txBody>
    </xdr:sp>
    <xdr:clientData/>
  </xdr:twoCellAnchor>
  <xdr:twoCellAnchor>
    <xdr:from>
      <xdr:col>6</xdr:col>
      <xdr:colOff>103453</xdr:colOff>
      <xdr:row>14</xdr:row>
      <xdr:rowOff>44451</xdr:rowOff>
    </xdr:from>
    <xdr:to>
      <xdr:col>7</xdr:col>
      <xdr:colOff>475286</xdr:colOff>
      <xdr:row>16</xdr:row>
      <xdr:rowOff>44452</xdr:rowOff>
    </xdr:to>
    <xdr:sp macro="" textlink="Calculations!G13">
      <xdr:nvSpPr>
        <xdr:cNvPr id="44" name="TextBox 43">
          <a:extLst>
            <a:ext uri="{FF2B5EF4-FFF2-40B4-BE49-F238E27FC236}">
              <a16:creationId xmlns:a16="http://schemas.microsoft.com/office/drawing/2014/main" id="{283DD32B-1D65-11A9-FC6F-62A1117DE812}"/>
            </a:ext>
          </a:extLst>
        </xdr:cNvPr>
        <xdr:cNvSpPr txBox="1"/>
      </xdr:nvSpPr>
      <xdr:spPr>
        <a:xfrm>
          <a:off x="3746766" y="2544764"/>
          <a:ext cx="979051"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47C1EC-E110-4094-BBD7-375A02A3F1BC}" type="TxLink">
            <a:rPr lang="en-US" sz="1100" b="0" i="0" u="none" strike="noStrike">
              <a:solidFill>
                <a:srgbClr val="BAC8C9"/>
              </a:solidFill>
              <a:latin typeface="Calibri"/>
              <a:ea typeface="Calibri"/>
              <a:cs typeface="Calibri"/>
            </a:rPr>
            <a:pPr marL="0" indent="0"/>
            <a:t>▲30%VS LY</a:t>
          </a:fld>
          <a:endParaRPr lang="en-KE" sz="1100" b="0" i="0" u="none" strike="noStrike">
            <a:solidFill>
              <a:srgbClr val="BAC8C9"/>
            </a:solidFill>
            <a:latin typeface="Calibri"/>
            <a:ea typeface="Calibri"/>
            <a:cs typeface="Calibri"/>
          </a:endParaRPr>
        </a:p>
      </xdr:txBody>
    </xdr:sp>
    <xdr:clientData/>
  </xdr:twoCellAnchor>
  <xdr:twoCellAnchor>
    <xdr:from>
      <xdr:col>6</xdr:col>
      <xdr:colOff>103453</xdr:colOff>
      <xdr:row>22</xdr:row>
      <xdr:rowOff>8732</xdr:rowOff>
    </xdr:from>
    <xdr:to>
      <xdr:col>7</xdr:col>
      <xdr:colOff>478461</xdr:colOff>
      <xdr:row>24</xdr:row>
      <xdr:rowOff>8733</xdr:rowOff>
    </xdr:to>
    <xdr:sp macro="" textlink="Calculations!G14">
      <xdr:nvSpPr>
        <xdr:cNvPr id="45" name="TextBox 44">
          <a:extLst>
            <a:ext uri="{FF2B5EF4-FFF2-40B4-BE49-F238E27FC236}">
              <a16:creationId xmlns:a16="http://schemas.microsoft.com/office/drawing/2014/main" id="{C2A2A0C3-6804-607B-2A9B-663916CADC95}"/>
            </a:ext>
          </a:extLst>
        </xdr:cNvPr>
        <xdr:cNvSpPr txBox="1"/>
      </xdr:nvSpPr>
      <xdr:spPr>
        <a:xfrm>
          <a:off x="3746766" y="3937795"/>
          <a:ext cx="982226"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8314D9-6F4F-48D4-A0DB-66C6B705916B}" type="TxLink">
            <a:rPr lang="en-US" sz="1100" b="0" i="0" u="none" strike="noStrike">
              <a:solidFill>
                <a:srgbClr val="BAC8C9"/>
              </a:solidFill>
              <a:latin typeface="Calibri"/>
              <a:ea typeface="Calibri"/>
              <a:cs typeface="Calibri"/>
            </a:rPr>
            <a:pPr marL="0" indent="0"/>
            <a:t>▲24%VS LY</a:t>
          </a:fld>
          <a:endParaRPr lang="en-KE" sz="1100" b="0" i="0" u="none" strike="noStrike">
            <a:solidFill>
              <a:srgbClr val="BAC8C9"/>
            </a:solidFill>
            <a:latin typeface="Calibri"/>
            <a:ea typeface="Calibri"/>
            <a:cs typeface="Calibri"/>
          </a:endParaRPr>
        </a:p>
      </xdr:txBody>
    </xdr:sp>
    <xdr:clientData/>
  </xdr:twoCellAnchor>
  <xdr:twoCellAnchor>
    <xdr:from>
      <xdr:col>10</xdr:col>
      <xdr:colOff>277019</xdr:colOff>
      <xdr:row>14</xdr:row>
      <xdr:rowOff>1</xdr:rowOff>
    </xdr:from>
    <xdr:to>
      <xdr:col>12</xdr:col>
      <xdr:colOff>38458</xdr:colOff>
      <xdr:row>16</xdr:row>
      <xdr:rowOff>2</xdr:rowOff>
    </xdr:to>
    <xdr:sp macro="" textlink="Calculations!G14">
      <xdr:nvSpPr>
        <xdr:cNvPr id="46" name="TextBox 45">
          <a:extLst>
            <a:ext uri="{FF2B5EF4-FFF2-40B4-BE49-F238E27FC236}">
              <a16:creationId xmlns:a16="http://schemas.microsoft.com/office/drawing/2014/main" id="{07B39D68-F510-62DB-228A-07C4FD27B70F}"/>
            </a:ext>
          </a:extLst>
        </xdr:cNvPr>
        <xdr:cNvSpPr txBox="1"/>
      </xdr:nvSpPr>
      <xdr:spPr>
        <a:xfrm>
          <a:off x="6349207" y="2500314"/>
          <a:ext cx="975876"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4213AC-601D-423F-A0C3-6949189F828D}" type="TxLink">
            <a:rPr lang="en-US" sz="1100" b="0" i="0" u="none" strike="noStrike">
              <a:solidFill>
                <a:srgbClr val="BAC8C9"/>
              </a:solidFill>
              <a:latin typeface="Calibri"/>
              <a:ea typeface="Calibri"/>
              <a:cs typeface="Calibri"/>
            </a:rPr>
            <a:pPr marL="0" indent="0"/>
            <a:t>▲24%VS LY</a:t>
          </a:fld>
          <a:endParaRPr lang="en-KE" sz="1100" b="0" i="0" u="none" strike="noStrike">
            <a:solidFill>
              <a:srgbClr val="BAC8C9"/>
            </a:solidFill>
            <a:latin typeface="Calibri"/>
            <a:ea typeface="Calibri"/>
            <a:cs typeface="Calibri"/>
          </a:endParaRPr>
        </a:p>
      </xdr:txBody>
    </xdr:sp>
    <xdr:clientData/>
  </xdr:twoCellAnchor>
  <xdr:twoCellAnchor>
    <xdr:from>
      <xdr:col>10</xdr:col>
      <xdr:colOff>277019</xdr:colOff>
      <xdr:row>22</xdr:row>
      <xdr:rowOff>0</xdr:rowOff>
    </xdr:from>
    <xdr:to>
      <xdr:col>12</xdr:col>
      <xdr:colOff>41633</xdr:colOff>
      <xdr:row>24</xdr:row>
      <xdr:rowOff>1</xdr:rowOff>
    </xdr:to>
    <xdr:sp macro="" textlink="Calculations!G16">
      <xdr:nvSpPr>
        <xdr:cNvPr id="47" name="TextBox 46">
          <a:extLst>
            <a:ext uri="{FF2B5EF4-FFF2-40B4-BE49-F238E27FC236}">
              <a16:creationId xmlns:a16="http://schemas.microsoft.com/office/drawing/2014/main" id="{DE366478-E833-E727-48FF-3D3455158000}"/>
            </a:ext>
          </a:extLst>
        </xdr:cNvPr>
        <xdr:cNvSpPr txBox="1"/>
      </xdr:nvSpPr>
      <xdr:spPr>
        <a:xfrm>
          <a:off x="6349207" y="3929063"/>
          <a:ext cx="979051"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66F856-C5D5-4AF1-9D26-7B4694F4D6AE}" type="TxLink">
            <a:rPr lang="en-US" sz="1100" b="0" i="0" u="none" strike="noStrike">
              <a:solidFill>
                <a:srgbClr val="BAC8C9"/>
              </a:solidFill>
              <a:latin typeface="Calibri"/>
              <a:ea typeface="Calibri"/>
              <a:cs typeface="Calibri"/>
            </a:rPr>
            <a:pPr marL="0" indent="0"/>
            <a:t>▲34%VS LY</a:t>
          </a:fld>
          <a:endParaRPr lang="en-KE" sz="1100" b="0" i="0" u="none" strike="noStrike">
            <a:solidFill>
              <a:srgbClr val="BAC8C9"/>
            </a:solidFill>
            <a:latin typeface="Calibri"/>
            <a:ea typeface="Calibri"/>
            <a:cs typeface="Calibri"/>
          </a:endParaRPr>
        </a:p>
      </xdr:txBody>
    </xdr:sp>
    <xdr:clientData/>
  </xdr:twoCellAnchor>
  <xdr:twoCellAnchor>
    <xdr:from>
      <xdr:col>7</xdr:col>
      <xdr:colOff>201970</xdr:colOff>
      <xdr:row>11</xdr:row>
      <xdr:rowOff>93016</xdr:rowOff>
    </xdr:from>
    <xdr:to>
      <xdr:col>9</xdr:col>
      <xdr:colOff>514707</xdr:colOff>
      <xdr:row>17</xdr:row>
      <xdr:rowOff>121591</xdr:rowOff>
    </xdr:to>
    <xdr:graphicFrame macro="">
      <xdr:nvGraphicFramePr>
        <xdr:cNvPr id="48" name="Chart 47">
          <a:extLst>
            <a:ext uri="{FF2B5EF4-FFF2-40B4-BE49-F238E27FC236}">
              <a16:creationId xmlns:a16="http://schemas.microsoft.com/office/drawing/2014/main" id="{4D197ABF-2B1E-42EF-9A4A-0E84BBE3A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476251</xdr:colOff>
      <xdr:row>10</xdr:row>
      <xdr:rowOff>103730</xdr:rowOff>
    </xdr:from>
    <xdr:to>
      <xdr:col>14</xdr:col>
      <xdr:colOff>181830</xdr:colOff>
      <xdr:row>15</xdr:row>
      <xdr:rowOff>173034</xdr:rowOff>
    </xdr:to>
    <xdr:graphicFrame macro="">
      <xdr:nvGraphicFramePr>
        <xdr:cNvPr id="49" name="Chart 48">
          <a:extLst>
            <a:ext uri="{FF2B5EF4-FFF2-40B4-BE49-F238E27FC236}">
              <a16:creationId xmlns:a16="http://schemas.microsoft.com/office/drawing/2014/main" id="{6F4892D9-B4BF-4046-A6EB-7DAACE0A9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198795</xdr:colOff>
      <xdr:row>17</xdr:row>
      <xdr:rowOff>129384</xdr:rowOff>
    </xdr:from>
    <xdr:to>
      <xdr:col>10</xdr:col>
      <xdr:colOff>20201</xdr:colOff>
      <xdr:row>24</xdr:row>
      <xdr:rowOff>160341</xdr:rowOff>
    </xdr:to>
    <xdr:graphicFrame macro="">
      <xdr:nvGraphicFramePr>
        <xdr:cNvPr id="50" name="Chart 49">
          <a:extLst>
            <a:ext uri="{FF2B5EF4-FFF2-40B4-BE49-F238E27FC236}">
              <a16:creationId xmlns:a16="http://schemas.microsoft.com/office/drawing/2014/main" id="{FE654820-A6E6-474C-9D9C-19F556608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408850</xdr:colOff>
      <xdr:row>18</xdr:row>
      <xdr:rowOff>0</xdr:rowOff>
    </xdr:from>
    <xdr:to>
      <xdr:col>14</xdr:col>
      <xdr:colOff>227081</xdr:colOff>
      <xdr:row>23</xdr:row>
      <xdr:rowOff>29370</xdr:rowOff>
    </xdr:to>
    <xdr:graphicFrame macro="">
      <xdr:nvGraphicFramePr>
        <xdr:cNvPr id="51" name="Chart 50">
          <a:extLst>
            <a:ext uri="{FF2B5EF4-FFF2-40B4-BE49-F238E27FC236}">
              <a16:creationId xmlns:a16="http://schemas.microsoft.com/office/drawing/2014/main" id="{F95DB018-1B20-4DA0-90DF-C4C8B2FD8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607217</xdr:colOff>
      <xdr:row>11</xdr:row>
      <xdr:rowOff>83589</xdr:rowOff>
    </xdr:from>
    <xdr:to>
      <xdr:col>25</xdr:col>
      <xdr:colOff>0</xdr:colOff>
      <xdr:row>24</xdr:row>
      <xdr:rowOff>0</xdr:rowOff>
    </xdr:to>
    <xdr:graphicFrame macro="">
      <xdr:nvGraphicFramePr>
        <xdr:cNvPr id="52" name="Chart 51">
          <a:extLst>
            <a:ext uri="{FF2B5EF4-FFF2-40B4-BE49-F238E27FC236}">
              <a16:creationId xmlns:a16="http://schemas.microsoft.com/office/drawing/2014/main" id="{DF18B627-BEC9-4687-AACD-D6E3694F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26</xdr:row>
      <xdr:rowOff>63500</xdr:rowOff>
    </xdr:from>
    <xdr:to>
      <xdr:col>25</xdr:col>
      <xdr:colOff>0</xdr:colOff>
      <xdr:row>40</xdr:row>
      <xdr:rowOff>0</xdr:rowOff>
    </xdr:to>
    <xdr:graphicFrame macro="">
      <xdr:nvGraphicFramePr>
        <xdr:cNvPr id="53" name="Chart 52">
          <a:extLst>
            <a:ext uri="{FF2B5EF4-FFF2-40B4-BE49-F238E27FC236}">
              <a16:creationId xmlns:a16="http://schemas.microsoft.com/office/drawing/2014/main" id="{B01A0E06-F4B8-4BB6-8A38-F97293DE7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106628</xdr:colOff>
      <xdr:row>27</xdr:row>
      <xdr:rowOff>11906</xdr:rowOff>
    </xdr:from>
    <xdr:to>
      <xdr:col>14</xdr:col>
      <xdr:colOff>0</xdr:colOff>
      <xdr:row>40</xdr:row>
      <xdr:rowOff>88898</xdr:rowOff>
    </xdr:to>
    <xdr:graphicFrame macro="">
      <xdr:nvGraphicFramePr>
        <xdr:cNvPr id="54" name="Chart 53">
          <a:extLst>
            <a:ext uri="{FF2B5EF4-FFF2-40B4-BE49-F238E27FC236}">
              <a16:creationId xmlns:a16="http://schemas.microsoft.com/office/drawing/2014/main" id="{F81555D1-6CBB-44F6-BB39-5EDAC01BA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21</xdr:col>
      <xdr:colOff>0</xdr:colOff>
      <xdr:row>6</xdr:row>
      <xdr:rowOff>95250</xdr:rowOff>
    </xdr:from>
    <xdr:to>
      <xdr:col>25</xdr:col>
      <xdr:colOff>311150</xdr:colOff>
      <xdr:row>9</xdr:row>
      <xdr:rowOff>133452</xdr:rowOff>
    </xdr:to>
    <mc:AlternateContent xmlns:mc="http://schemas.openxmlformats.org/markup-compatibility/2006">
      <mc:Choice xmlns:a14="http://schemas.microsoft.com/office/drawing/2010/main" Requires="a14">
        <xdr:graphicFrame macro="">
          <xdr:nvGraphicFramePr>
            <xdr:cNvPr id="56" name="Category">
              <a:extLst>
                <a:ext uri="{FF2B5EF4-FFF2-40B4-BE49-F238E27FC236}">
                  <a16:creationId xmlns:a16="http://schemas.microsoft.com/office/drawing/2014/main" id="{0384F022-232D-478B-ACDE-E053644AE7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51594" y="1166813"/>
              <a:ext cx="2743200" cy="57398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92117</xdr:colOff>
      <xdr:row>6</xdr:row>
      <xdr:rowOff>95250</xdr:rowOff>
    </xdr:from>
    <xdr:to>
      <xdr:col>20</xdr:col>
      <xdr:colOff>0</xdr:colOff>
      <xdr:row>8</xdr:row>
      <xdr:rowOff>95251</xdr:rowOff>
    </xdr:to>
    <xdr:sp macro="" textlink="Calculations!E5">
      <xdr:nvSpPr>
        <xdr:cNvPr id="58" name="TextBox 57">
          <a:extLst>
            <a:ext uri="{FF2B5EF4-FFF2-40B4-BE49-F238E27FC236}">
              <a16:creationId xmlns:a16="http://schemas.microsoft.com/office/drawing/2014/main" id="{902C0D0C-32C4-FBA4-7884-174D57488D22}"/>
            </a:ext>
          </a:extLst>
        </xdr:cNvPr>
        <xdr:cNvSpPr txBox="1"/>
      </xdr:nvSpPr>
      <xdr:spPr>
        <a:xfrm>
          <a:off x="11022055" y="1166813"/>
          <a:ext cx="112232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E6D2CB-9F4B-426B-BB2F-8C1CF616B182}" type="TxLink">
            <a:rPr lang="en-US" sz="1600" b="1" i="0" u="none" strike="noStrike">
              <a:solidFill>
                <a:srgbClr val="BAC8C9"/>
              </a:solidFill>
              <a:latin typeface="Calibri"/>
              <a:ea typeface="Calibri"/>
              <a:cs typeface="Calibri"/>
            </a:rPr>
            <a:pPr marL="0" indent="0"/>
            <a:t>23:31:13</a:t>
          </a:fld>
          <a:endParaRPr lang="en-KE" sz="1600" b="1" i="0" u="none" strike="noStrike">
            <a:solidFill>
              <a:srgbClr val="BAC8C9"/>
            </a:solidFill>
            <a:latin typeface="Calibri"/>
            <a:ea typeface="Calibri"/>
            <a:cs typeface="Calibri"/>
          </a:endParaRPr>
        </a:p>
      </xdr:txBody>
    </xdr:sp>
    <xdr:clientData/>
  </xdr:twoCellAnchor>
  <xdr:twoCellAnchor>
    <xdr:from>
      <xdr:col>17</xdr:col>
      <xdr:colOff>192924</xdr:colOff>
      <xdr:row>8</xdr:row>
      <xdr:rowOff>0</xdr:rowOff>
    </xdr:from>
    <xdr:to>
      <xdr:col>20</xdr:col>
      <xdr:colOff>0</xdr:colOff>
      <xdr:row>10</xdr:row>
      <xdr:rowOff>0</xdr:rowOff>
    </xdr:to>
    <xdr:sp macro="" textlink="Calculations!D5">
      <xdr:nvSpPr>
        <xdr:cNvPr id="59" name="TextBox 58">
          <a:extLst>
            <a:ext uri="{FF2B5EF4-FFF2-40B4-BE49-F238E27FC236}">
              <a16:creationId xmlns:a16="http://schemas.microsoft.com/office/drawing/2014/main" id="{A23670CE-90AA-9ED2-47D0-0D5C0926F612}"/>
            </a:ext>
          </a:extLst>
        </xdr:cNvPr>
        <xdr:cNvSpPr txBox="1"/>
      </xdr:nvSpPr>
      <xdr:spPr>
        <a:xfrm>
          <a:off x="10515643" y="1428750"/>
          <a:ext cx="1628732"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E15524-F8AD-45E6-99ED-4D627A217706}" type="TxLink">
            <a:rPr lang="en-US" sz="1800" b="1" i="0" u="none" strike="noStrike">
              <a:solidFill>
                <a:srgbClr val="BAC8C9"/>
              </a:solidFill>
              <a:latin typeface="Calibri"/>
              <a:ea typeface="Calibri"/>
              <a:cs typeface="Calibri"/>
            </a:rPr>
            <a:pPr marL="0" indent="0"/>
            <a:t>29 April 2026</a:t>
          </a:fld>
          <a:endParaRPr lang="en-KE" sz="1800" b="1" i="0" u="none" strike="noStrike">
            <a:solidFill>
              <a:srgbClr val="BAC8C9"/>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Igana" refreshedDate="46140.857909027778" createdVersion="8" refreshedVersion="8" minRefreshableVersion="3" recordCount="300" xr:uid="{3A863BD8-E672-401A-AC1A-24433E894B7C}">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4">
      <sharedItems count="12">
        <s v="Jan"/>
        <s v="Aug"/>
        <s v="Jul"/>
        <s v="Apr"/>
        <s v="Dec"/>
        <s v="Feb"/>
        <s v="Sept"/>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2 01 2023"/>
          <s v="Jan"/>
          <s v="Feb"/>
          <s v="Mar"/>
          <s v="Apr"/>
          <s v="May"/>
          <s v="Jun"/>
          <s v="Jul"/>
          <s v="Aug"/>
          <s v="Sept"/>
          <s v="Oct"/>
          <s v="Nov"/>
          <s v="Dec"/>
          <s v="&gt;27 12 2024"/>
        </groupItems>
      </fieldGroup>
    </cacheField>
    <cacheField name="Quarters (Date)" numFmtId="0" databaseField="0">
      <fieldGroup base="1">
        <rangePr groupBy="quarters" startDate="2023-01-02T00:00:00" endDate="2024-12-27T00:00:00"/>
        <groupItems count="6">
          <s v="&lt;2 01 2023"/>
          <s v="Qtr1"/>
          <s v="Qtr2"/>
          <s v="Qtr3"/>
          <s v="Qtr4"/>
          <s v="&gt;27 12 2024"/>
        </groupItems>
      </fieldGroup>
    </cacheField>
    <cacheField name="Years (Date)" numFmtId="0" databaseField="0">
      <fieldGroup base="1">
        <rangePr groupBy="years" startDate="2023-01-02T00:00:00" endDate="2024-12-27T00:00:00"/>
        <groupItems count="4">
          <s v="&lt;2 01 2023"/>
          <s v="2023"/>
          <s v="2024"/>
          <s v="&gt;27 12 2024"/>
        </groupItems>
      </fieldGroup>
    </cacheField>
  </cacheFields>
  <extLst>
    <ext xmlns:x14="http://schemas.microsoft.com/office/spreadsheetml/2009/9/main" uri="{725AE2AE-9491-48be-B2B4-4EB974FC3084}">
      <x14:pivotCacheDefinition pivotCacheId="763388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222ED-F13A-4C13-B1EE-BCD7458B994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9"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95F1F9-224D-4FDA-A8BA-FECE3059F0C5}"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6:N12"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1">
    <format dxfId="22">
      <pivotArea outline="0" collapsedLevelsAreSubtotals="1" fieldPosition="0"/>
    </format>
  </formats>
  <chartFormats count="2">
    <chartFormat chart="14" format="5" series="1">
      <pivotArea type="data" outline="0" fieldPosition="0">
        <references count="2">
          <reference field="4294967294" count="1" selected="0">
            <x v="0"/>
          </reference>
          <reference field="3" count="1" selected="0">
            <x v="0"/>
          </reference>
        </references>
      </pivotArea>
    </chartFormat>
    <chartFormat chart="14"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2FA78-9535-461A-B438-C3D653F5282C}"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7:E53"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5"/>
  </dataFields>
  <formats count="1">
    <format dxfId="23">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DCAE50-750B-4C59-85B4-E925C697DA2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5:E43"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8"/>
  </dataFields>
  <formats count="1">
    <format dxfId="19">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1176CA-67ED-48BF-AECD-6D83A7B1E0CC}"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3:N3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dataFields>
  <formats count="1">
    <format dxfId="24">
      <pivotArea outline="0" collapsedLevelsAreSubtotals="1" fieldPosition="0"/>
    </format>
  </formats>
  <chartFormats count="2">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C5DAFC-BA65-4700-B1E1-5F1379B2C35B}"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4:N3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dataFields>
  <formats count="1">
    <format dxfId="25">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F8A48F-425D-4060-A9B5-0007EE58F53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9:E33"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8"/>
  </dataFields>
  <formats count="3">
    <format dxfId="27">
      <pivotArea dataOnly="0" labelOnly="1" fieldPosition="0">
        <references count="1">
          <reference field="3" count="0"/>
        </references>
      </pivotArea>
    </format>
    <format dxfId="26">
      <pivotArea dataOnly="0" labelOnly="1" grandCol="1" outline="0" fieldPosition="0"/>
    </format>
    <format dxfId="20">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E4804E-9411-4B24-A0B7-7E1B316BA591}"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5:N21"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28">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E869FC-2263-4E76-BCB0-792B7F6B749F}" sourceName="Category">
  <pivotTables>
    <pivotTable tabId="3" name="PivotTable1"/>
  </pivotTables>
  <data>
    <tabular pivotCacheId="7633887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4B9CEC-EFE0-48C4-9E44-C72B12472BCE}" cache="Slicer_Category" caption="Category"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C22DC-74DD-41E4-9204-41CE2522B18E}" name="Table1" displayName="Table1" ref="C5:L305" totalsRowShown="0" headerRowDxfId="34" headerRowBorderDxfId="33" tableBorderDxfId="32">
  <autoFilter ref="C5:L305" xr:uid="{B23C22DC-74DD-41E4-9204-41CE2522B18E}"/>
  <tableColumns count="10">
    <tableColumn id="1" xr3:uid="{C73F0EC2-5F3C-4777-B757-FB59DF7400C6}" name="OrderID"/>
    <tableColumn id="2" xr3:uid="{7B695675-089A-4305-AA42-25F90F6C9ABA}" name="Date" dataDxfId="31"/>
    <tableColumn id="10" xr3:uid="{42D20928-CC3E-4B59-93C3-4095C68564B8}" name="Month" dataDxfId="30">
      <calculatedColumnFormula>TEXT(Table1[[#This Row],[Date]],"MMM")</calculatedColumnFormula>
    </tableColumn>
    <tableColumn id="9" xr3:uid="{60DD82A9-96A8-4AB7-9772-CD48965F1A97}" name="Year" dataDxfId="29">
      <calculatedColumnFormula>TEXT(Table1[[#This Row],[Date]],"yyyy")</calculatedColumnFormula>
    </tableColumn>
    <tableColumn id="3" xr3:uid="{25D9BFF9-1FBF-4726-B970-9EACEEC7D9CB}" name="Product"/>
    <tableColumn id="4" xr3:uid="{53F52AFC-037E-40CB-8FEE-64B6136B5822}" name="Category"/>
    <tableColumn id="5" xr3:uid="{7426E6E6-49F0-410E-94C9-7587FBD241FC}" name="Region"/>
    <tableColumn id="6" xr3:uid="{06A6DF16-5581-4804-858F-F81FD4AB02F4}" name="Sales"/>
    <tableColumn id="7" xr3:uid="{8C669747-3611-4814-ABBF-B90A5BE64CA1}" name="Quantity"/>
    <tableColumn id="8" xr3:uid="{3D29D936-0887-4F62-9EFD-ACCD545DA704}" name="Cos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L305"/>
  <sheetViews>
    <sheetView workbookViewId="0"/>
  </sheetViews>
  <sheetFormatPr defaultRowHeight="14.5" x14ac:dyDescent="0.35"/>
  <cols>
    <col min="3" max="3" width="9.54296875" customWidth="1"/>
    <col min="4" max="4" width="10.08984375" bestFit="1" customWidth="1"/>
    <col min="5" max="6" width="10.08984375" customWidth="1"/>
    <col min="7" max="7" width="9.453125" customWidth="1"/>
    <col min="8" max="8" width="10.26953125" customWidth="1"/>
    <col min="11" max="11" width="10.1796875" customWidth="1"/>
  </cols>
  <sheetData>
    <row r="5" spans="3:12" x14ac:dyDescent="0.35">
      <c r="C5" s="2" t="s">
        <v>0</v>
      </c>
      <c r="D5" s="2" t="s">
        <v>1</v>
      </c>
      <c r="E5" s="2" t="s">
        <v>320</v>
      </c>
      <c r="F5" s="2" t="s">
        <v>321</v>
      </c>
      <c r="G5" s="2" t="s">
        <v>2</v>
      </c>
      <c r="H5" s="2" t="s">
        <v>3</v>
      </c>
      <c r="I5" s="2" t="s">
        <v>4</v>
      </c>
      <c r="J5" s="2" t="s">
        <v>5</v>
      </c>
      <c r="K5" s="2" t="s">
        <v>6</v>
      </c>
      <c r="L5" s="2" t="s">
        <v>7</v>
      </c>
    </row>
    <row r="6" spans="3:12" x14ac:dyDescent="0.35">
      <c r="C6" t="s">
        <v>8</v>
      </c>
      <c r="D6" s="1">
        <v>44952</v>
      </c>
      <c r="E6" s="1" t="str">
        <f>TEXT(Table1[[#This Row],[Date]],"MMM")</f>
        <v>Jan</v>
      </c>
      <c r="F6" s="1" t="str">
        <f>TEXT(Table1[[#This Row],[Date]],"yyyy")</f>
        <v>2023</v>
      </c>
      <c r="G6" t="s">
        <v>308</v>
      </c>
      <c r="H6" t="s">
        <v>314</v>
      </c>
      <c r="I6" t="s">
        <v>316</v>
      </c>
      <c r="J6">
        <v>1219.5</v>
      </c>
      <c r="K6">
        <v>5</v>
      </c>
      <c r="L6">
        <v>211.02</v>
      </c>
    </row>
    <row r="7" spans="3:12" x14ac:dyDescent="0.35">
      <c r="C7" t="s">
        <v>9</v>
      </c>
      <c r="D7" s="1">
        <v>45531</v>
      </c>
      <c r="E7" s="1" t="str">
        <f>TEXT(Table1[[#This Row],[Date]],"MMM")</f>
        <v>Aug</v>
      </c>
      <c r="F7" s="1" t="str">
        <f>TEXT(Table1[[#This Row],[Date]],"yyyy")</f>
        <v>2024</v>
      </c>
      <c r="G7" t="s">
        <v>309</v>
      </c>
      <c r="H7" t="s">
        <v>314</v>
      </c>
      <c r="I7" t="s">
        <v>316</v>
      </c>
      <c r="J7">
        <v>356.63</v>
      </c>
      <c r="K7">
        <v>7</v>
      </c>
      <c r="L7">
        <v>44.79</v>
      </c>
    </row>
    <row r="8" spans="3:12" x14ac:dyDescent="0.35">
      <c r="C8" t="s">
        <v>10</v>
      </c>
      <c r="D8" s="1">
        <v>45501</v>
      </c>
      <c r="E8" s="1" t="str">
        <f>TEXT(Table1[[#This Row],[Date]],"MMM")</f>
        <v>Jul</v>
      </c>
      <c r="F8" s="1" t="str">
        <f>TEXT(Table1[[#This Row],[Date]],"yyyy")</f>
        <v>2024</v>
      </c>
      <c r="G8" t="s">
        <v>310</v>
      </c>
      <c r="H8" t="s">
        <v>315</v>
      </c>
      <c r="I8" t="s">
        <v>316</v>
      </c>
      <c r="J8">
        <v>3194.55</v>
      </c>
      <c r="K8">
        <v>4</v>
      </c>
      <c r="L8">
        <v>578.5</v>
      </c>
    </row>
    <row r="9" spans="3:12" x14ac:dyDescent="0.35">
      <c r="C9" t="s">
        <v>11</v>
      </c>
      <c r="D9" s="1">
        <v>45386</v>
      </c>
      <c r="E9" s="1" t="str">
        <f>TEXT(Table1[[#This Row],[Date]],"MMM")</f>
        <v>Apr</v>
      </c>
      <c r="F9" s="1" t="str">
        <f>TEXT(Table1[[#This Row],[Date]],"yyyy")</f>
        <v>2024</v>
      </c>
      <c r="G9" t="s">
        <v>311</v>
      </c>
      <c r="H9" t="s">
        <v>314</v>
      </c>
      <c r="I9" t="s">
        <v>317</v>
      </c>
      <c r="J9">
        <v>3430.95</v>
      </c>
      <c r="K9">
        <v>10</v>
      </c>
      <c r="L9">
        <v>236.99</v>
      </c>
    </row>
    <row r="10" spans="3:12" x14ac:dyDescent="0.35">
      <c r="C10" t="s">
        <v>12</v>
      </c>
      <c r="D10" s="1">
        <v>45275</v>
      </c>
      <c r="E10" s="1" t="str">
        <f>TEXT(Table1[[#This Row],[Date]],"MMM")</f>
        <v>Dec</v>
      </c>
      <c r="F10" s="1" t="str">
        <f>TEXT(Table1[[#This Row],[Date]],"yyyy")</f>
        <v>2023</v>
      </c>
      <c r="G10" t="s">
        <v>310</v>
      </c>
      <c r="H10" t="s">
        <v>315</v>
      </c>
      <c r="I10" t="s">
        <v>318</v>
      </c>
      <c r="J10">
        <v>1047.44</v>
      </c>
      <c r="K10">
        <v>5</v>
      </c>
      <c r="L10">
        <v>141.27000000000001</v>
      </c>
    </row>
    <row r="11" spans="3:12" x14ac:dyDescent="0.35">
      <c r="C11" t="s">
        <v>13</v>
      </c>
      <c r="D11" s="1">
        <v>45021</v>
      </c>
      <c r="E11" s="1" t="str">
        <f>TEXT(Table1[[#This Row],[Date]],"MMM")</f>
        <v>Apr</v>
      </c>
      <c r="F11" s="1" t="str">
        <f>TEXT(Table1[[#This Row],[Date]],"yyyy")</f>
        <v>2023</v>
      </c>
      <c r="G11" t="s">
        <v>312</v>
      </c>
      <c r="H11" t="s">
        <v>315</v>
      </c>
      <c r="I11" t="s">
        <v>316</v>
      </c>
      <c r="J11">
        <v>961.37</v>
      </c>
      <c r="K11">
        <v>7</v>
      </c>
      <c r="L11">
        <v>95.44</v>
      </c>
    </row>
    <row r="12" spans="3:12" x14ac:dyDescent="0.35">
      <c r="C12" t="s">
        <v>14</v>
      </c>
      <c r="D12" s="1">
        <v>44971</v>
      </c>
      <c r="E12" s="1" t="str">
        <f>TEXT(Table1[[#This Row],[Date]],"MMM")</f>
        <v>Feb</v>
      </c>
      <c r="F12" s="1" t="str">
        <f>TEXT(Table1[[#This Row],[Date]],"yyyy")</f>
        <v>2023</v>
      </c>
      <c r="G12" t="s">
        <v>313</v>
      </c>
      <c r="H12" t="s">
        <v>315</v>
      </c>
      <c r="I12" t="s">
        <v>319</v>
      </c>
      <c r="J12">
        <v>5221.42</v>
      </c>
      <c r="K12">
        <v>8</v>
      </c>
      <c r="L12">
        <v>438.26</v>
      </c>
    </row>
    <row r="13" spans="3:12" x14ac:dyDescent="0.35">
      <c r="C13" t="s">
        <v>15</v>
      </c>
      <c r="D13" s="1">
        <v>45492</v>
      </c>
      <c r="E13" s="1" t="str">
        <f>TEXT(Table1[[#This Row],[Date]],"MMM")</f>
        <v>Jul</v>
      </c>
      <c r="F13" s="1" t="str">
        <f>TEXT(Table1[[#This Row],[Date]],"yyyy")</f>
        <v>2024</v>
      </c>
      <c r="G13" t="s">
        <v>311</v>
      </c>
      <c r="H13" t="s">
        <v>314</v>
      </c>
      <c r="I13" t="s">
        <v>316</v>
      </c>
      <c r="J13">
        <v>4493.2</v>
      </c>
      <c r="K13">
        <v>5</v>
      </c>
      <c r="L13">
        <v>666.94</v>
      </c>
    </row>
    <row r="14" spans="3:12" x14ac:dyDescent="0.35">
      <c r="C14" t="s">
        <v>16</v>
      </c>
      <c r="D14" s="1">
        <v>45648</v>
      </c>
      <c r="E14" s="1" t="str">
        <f>TEXT(Table1[[#This Row],[Date]],"MMM")</f>
        <v>Dec</v>
      </c>
      <c r="F14" s="1" t="str">
        <f>TEXT(Table1[[#This Row],[Date]],"yyyy")</f>
        <v>2024</v>
      </c>
      <c r="G14" t="s">
        <v>312</v>
      </c>
      <c r="H14" t="s">
        <v>315</v>
      </c>
      <c r="I14" t="s">
        <v>317</v>
      </c>
      <c r="J14">
        <v>132.79</v>
      </c>
      <c r="K14">
        <v>2</v>
      </c>
      <c r="L14">
        <v>55.74</v>
      </c>
    </row>
    <row r="15" spans="3:12" x14ac:dyDescent="0.35">
      <c r="C15" t="s">
        <v>17</v>
      </c>
      <c r="D15" s="1">
        <v>45165</v>
      </c>
      <c r="E15" s="1" t="str">
        <f>TEXT(Table1[[#This Row],[Date]],"MMM")</f>
        <v>Aug</v>
      </c>
      <c r="F15" s="1" t="str">
        <f>TEXT(Table1[[#This Row],[Date]],"yyyy")</f>
        <v>2023</v>
      </c>
      <c r="G15" t="s">
        <v>312</v>
      </c>
      <c r="H15" t="s">
        <v>315</v>
      </c>
      <c r="I15" t="s">
        <v>316</v>
      </c>
      <c r="J15">
        <v>811.1</v>
      </c>
      <c r="K15">
        <v>2</v>
      </c>
      <c r="L15">
        <v>316.5</v>
      </c>
    </row>
    <row r="16" spans="3:12" x14ac:dyDescent="0.35">
      <c r="C16" t="s">
        <v>18</v>
      </c>
      <c r="D16" s="1">
        <v>45306</v>
      </c>
      <c r="E16" s="1" t="str">
        <f>TEXT(Table1[[#This Row],[Date]],"MMM")</f>
        <v>Jan</v>
      </c>
      <c r="F16" s="1" t="str">
        <f>TEXT(Table1[[#This Row],[Date]],"yyyy")</f>
        <v>2024</v>
      </c>
      <c r="G16" t="s">
        <v>312</v>
      </c>
      <c r="H16" t="s">
        <v>315</v>
      </c>
      <c r="I16" t="s">
        <v>317</v>
      </c>
      <c r="J16">
        <v>1328.1</v>
      </c>
      <c r="K16">
        <v>6</v>
      </c>
      <c r="L16">
        <v>183.42</v>
      </c>
    </row>
    <row r="17" spans="3:12" x14ac:dyDescent="0.35">
      <c r="C17" t="s">
        <v>19</v>
      </c>
      <c r="D17" s="1">
        <v>45550</v>
      </c>
      <c r="E17" s="1" t="str">
        <f>TEXT(Table1[[#This Row],[Date]],"MMM")</f>
        <v>Sept</v>
      </c>
      <c r="F17" s="1" t="str">
        <f>TEXT(Table1[[#This Row],[Date]],"yyyy")</f>
        <v>2024</v>
      </c>
      <c r="G17" t="s">
        <v>308</v>
      </c>
      <c r="H17" t="s">
        <v>314</v>
      </c>
      <c r="I17" t="s">
        <v>316</v>
      </c>
      <c r="J17">
        <v>1569.15</v>
      </c>
      <c r="K17">
        <v>3</v>
      </c>
      <c r="L17">
        <v>436.63</v>
      </c>
    </row>
    <row r="18" spans="3:12" x14ac:dyDescent="0.35">
      <c r="C18" t="s">
        <v>20</v>
      </c>
      <c r="D18" s="1">
        <v>45203</v>
      </c>
      <c r="E18" s="1" t="str">
        <f>TEXT(Table1[[#This Row],[Date]],"MMM")</f>
        <v>Oct</v>
      </c>
      <c r="F18" s="1" t="str">
        <f>TEXT(Table1[[#This Row],[Date]],"yyyy")</f>
        <v>2023</v>
      </c>
      <c r="G18" t="s">
        <v>311</v>
      </c>
      <c r="H18" t="s">
        <v>314</v>
      </c>
      <c r="I18" t="s">
        <v>318</v>
      </c>
      <c r="J18">
        <v>2117.1999999999998</v>
      </c>
      <c r="K18">
        <v>9</v>
      </c>
      <c r="L18">
        <v>191.3</v>
      </c>
    </row>
    <row r="19" spans="3:12" x14ac:dyDescent="0.35">
      <c r="C19" t="s">
        <v>21</v>
      </c>
      <c r="D19" s="1">
        <v>44959</v>
      </c>
      <c r="E19" s="1" t="str">
        <f>TEXT(Table1[[#This Row],[Date]],"MMM")</f>
        <v>Feb</v>
      </c>
      <c r="F19" s="1" t="str">
        <f>TEXT(Table1[[#This Row],[Date]],"yyyy")</f>
        <v>2023</v>
      </c>
      <c r="G19" t="s">
        <v>309</v>
      </c>
      <c r="H19" t="s">
        <v>314</v>
      </c>
      <c r="I19" t="s">
        <v>317</v>
      </c>
      <c r="J19">
        <v>2250.09</v>
      </c>
      <c r="K19">
        <v>6</v>
      </c>
      <c r="L19">
        <v>332.91</v>
      </c>
    </row>
    <row r="20" spans="3:12" x14ac:dyDescent="0.35">
      <c r="C20" t="s">
        <v>22</v>
      </c>
      <c r="D20" s="1">
        <v>45144</v>
      </c>
      <c r="E20" s="1" t="str">
        <f>TEXT(Table1[[#This Row],[Date]],"MMM")</f>
        <v>Aug</v>
      </c>
      <c r="F20" s="1" t="str">
        <f>TEXT(Table1[[#This Row],[Date]],"yyyy")</f>
        <v>2023</v>
      </c>
      <c r="G20" t="s">
        <v>313</v>
      </c>
      <c r="H20" t="s">
        <v>315</v>
      </c>
      <c r="I20" t="s">
        <v>319</v>
      </c>
      <c r="J20">
        <v>3853.23</v>
      </c>
      <c r="K20">
        <v>8</v>
      </c>
      <c r="L20">
        <v>328.59</v>
      </c>
    </row>
    <row r="21" spans="3:12" x14ac:dyDescent="0.35">
      <c r="C21" t="s">
        <v>23</v>
      </c>
      <c r="D21" s="1">
        <v>45198</v>
      </c>
      <c r="E21" s="1" t="str">
        <f>TEXT(Table1[[#This Row],[Date]],"MMM")</f>
        <v>Sept</v>
      </c>
      <c r="F21" s="1" t="str">
        <f>TEXT(Table1[[#This Row],[Date]],"yyyy")</f>
        <v>2023</v>
      </c>
      <c r="G21" t="s">
        <v>311</v>
      </c>
      <c r="H21" t="s">
        <v>314</v>
      </c>
      <c r="I21" t="s">
        <v>317</v>
      </c>
      <c r="J21">
        <v>843.88</v>
      </c>
      <c r="K21">
        <v>3</v>
      </c>
      <c r="L21">
        <v>212.37</v>
      </c>
    </row>
    <row r="22" spans="3:12" x14ac:dyDescent="0.35">
      <c r="C22" t="s">
        <v>24</v>
      </c>
      <c r="D22" s="1">
        <v>45524</v>
      </c>
      <c r="E22" s="1" t="str">
        <f>TEXT(Table1[[#This Row],[Date]],"MMM")</f>
        <v>Aug</v>
      </c>
      <c r="F22" s="1" t="str">
        <f>TEXT(Table1[[#This Row],[Date]],"yyyy")</f>
        <v>2024</v>
      </c>
      <c r="G22" t="s">
        <v>312</v>
      </c>
      <c r="H22" t="s">
        <v>315</v>
      </c>
      <c r="I22" t="s">
        <v>318</v>
      </c>
      <c r="J22">
        <v>3172.52</v>
      </c>
      <c r="K22">
        <v>7</v>
      </c>
      <c r="L22">
        <v>302.36</v>
      </c>
    </row>
    <row r="23" spans="3:12" x14ac:dyDescent="0.35">
      <c r="C23" t="s">
        <v>25</v>
      </c>
      <c r="D23" s="1">
        <v>45020</v>
      </c>
      <c r="E23" s="1" t="str">
        <f>TEXT(Table1[[#This Row],[Date]],"MMM")</f>
        <v>Apr</v>
      </c>
      <c r="F23" s="1" t="str">
        <f>TEXT(Table1[[#This Row],[Date]],"yyyy")</f>
        <v>2023</v>
      </c>
      <c r="G23" t="s">
        <v>310</v>
      </c>
      <c r="H23" t="s">
        <v>315</v>
      </c>
      <c r="I23" t="s">
        <v>318</v>
      </c>
      <c r="J23">
        <v>803.11</v>
      </c>
      <c r="K23">
        <v>1</v>
      </c>
      <c r="L23">
        <v>691.66</v>
      </c>
    </row>
    <row r="24" spans="3:12" x14ac:dyDescent="0.35">
      <c r="C24" t="s">
        <v>26</v>
      </c>
      <c r="D24" s="1">
        <v>45537</v>
      </c>
      <c r="E24" s="1" t="str">
        <f>TEXT(Table1[[#This Row],[Date]],"MMM")</f>
        <v>Sept</v>
      </c>
      <c r="F24" s="1" t="str">
        <f>TEXT(Table1[[#This Row],[Date]],"yyyy")</f>
        <v>2024</v>
      </c>
      <c r="G24" t="s">
        <v>310</v>
      </c>
      <c r="H24" t="s">
        <v>315</v>
      </c>
      <c r="I24" t="s">
        <v>318</v>
      </c>
      <c r="J24">
        <v>856.87</v>
      </c>
      <c r="K24">
        <v>2</v>
      </c>
      <c r="L24">
        <v>320.12</v>
      </c>
    </row>
    <row r="25" spans="3:12" x14ac:dyDescent="0.35">
      <c r="C25" t="s">
        <v>27</v>
      </c>
      <c r="D25" s="1">
        <v>45493</v>
      </c>
      <c r="E25" s="1" t="str">
        <f>TEXT(Table1[[#This Row],[Date]],"MMM")</f>
        <v>Jul</v>
      </c>
      <c r="F25" s="1" t="str">
        <f>TEXT(Table1[[#This Row],[Date]],"yyyy")</f>
        <v>2024</v>
      </c>
      <c r="G25" t="s">
        <v>311</v>
      </c>
      <c r="H25" t="s">
        <v>314</v>
      </c>
      <c r="I25" t="s">
        <v>319</v>
      </c>
      <c r="J25">
        <v>630.91</v>
      </c>
      <c r="K25">
        <v>1</v>
      </c>
      <c r="L25">
        <v>550.62</v>
      </c>
    </row>
    <row r="26" spans="3:12" x14ac:dyDescent="0.35">
      <c r="C26" t="s">
        <v>28</v>
      </c>
      <c r="D26" s="1">
        <v>45583</v>
      </c>
      <c r="E26" s="1" t="str">
        <f>TEXT(Table1[[#This Row],[Date]],"MMM")</f>
        <v>Oct</v>
      </c>
      <c r="F26" s="1" t="str">
        <f>TEXT(Table1[[#This Row],[Date]],"yyyy")</f>
        <v>2024</v>
      </c>
      <c r="G26" t="s">
        <v>313</v>
      </c>
      <c r="H26" t="s">
        <v>315</v>
      </c>
      <c r="I26" t="s">
        <v>319</v>
      </c>
      <c r="J26">
        <v>817.92</v>
      </c>
      <c r="K26">
        <v>6</v>
      </c>
      <c r="L26">
        <v>107.01</v>
      </c>
    </row>
    <row r="27" spans="3:12" x14ac:dyDescent="0.35">
      <c r="C27" t="s">
        <v>29</v>
      </c>
      <c r="D27" s="1">
        <v>45196</v>
      </c>
      <c r="E27" s="1" t="str">
        <f>TEXT(Table1[[#This Row],[Date]],"MMM")</f>
        <v>Sept</v>
      </c>
      <c r="F27" s="1" t="str">
        <f>TEXT(Table1[[#This Row],[Date]],"yyyy")</f>
        <v>2023</v>
      </c>
      <c r="G27" t="s">
        <v>311</v>
      </c>
      <c r="H27" t="s">
        <v>314</v>
      </c>
      <c r="I27" t="s">
        <v>316</v>
      </c>
      <c r="J27">
        <v>7204.65</v>
      </c>
      <c r="K27">
        <v>9</v>
      </c>
      <c r="L27">
        <v>614.33000000000004</v>
      </c>
    </row>
    <row r="28" spans="3:12" x14ac:dyDescent="0.35">
      <c r="C28" t="s">
        <v>30</v>
      </c>
      <c r="D28" s="1">
        <v>45581</v>
      </c>
      <c r="E28" s="1" t="str">
        <f>TEXT(Table1[[#This Row],[Date]],"MMM")</f>
        <v>Oct</v>
      </c>
      <c r="F28" s="1" t="str">
        <f>TEXT(Table1[[#This Row],[Date]],"yyyy")</f>
        <v>2024</v>
      </c>
      <c r="G28" t="s">
        <v>309</v>
      </c>
      <c r="H28" t="s">
        <v>314</v>
      </c>
      <c r="I28" t="s">
        <v>319</v>
      </c>
      <c r="J28">
        <v>5172.8599999999997</v>
      </c>
      <c r="K28">
        <v>9</v>
      </c>
      <c r="L28">
        <v>495</v>
      </c>
    </row>
    <row r="29" spans="3:12" x14ac:dyDescent="0.35">
      <c r="C29" t="s">
        <v>31</v>
      </c>
      <c r="D29" s="1">
        <v>45540</v>
      </c>
      <c r="E29" s="1" t="str">
        <f>TEXT(Table1[[#This Row],[Date]],"MMM")</f>
        <v>Sept</v>
      </c>
      <c r="F29" s="1" t="str">
        <f>TEXT(Table1[[#This Row],[Date]],"yyyy")</f>
        <v>2024</v>
      </c>
      <c r="G29" t="s">
        <v>310</v>
      </c>
      <c r="H29" t="s">
        <v>315</v>
      </c>
      <c r="I29" t="s">
        <v>316</v>
      </c>
      <c r="J29">
        <v>2755.02</v>
      </c>
      <c r="K29">
        <v>6</v>
      </c>
      <c r="L29">
        <v>401.11</v>
      </c>
    </row>
    <row r="30" spans="3:12" x14ac:dyDescent="0.35">
      <c r="C30" t="s">
        <v>32</v>
      </c>
      <c r="D30" s="1">
        <v>45172</v>
      </c>
      <c r="E30" s="1" t="str">
        <f>TEXT(Table1[[#This Row],[Date]],"MMM")</f>
        <v>Sept</v>
      </c>
      <c r="F30" s="1" t="str">
        <f>TEXT(Table1[[#This Row],[Date]],"yyyy")</f>
        <v>2023</v>
      </c>
      <c r="G30" t="s">
        <v>312</v>
      </c>
      <c r="H30" t="s">
        <v>315</v>
      </c>
      <c r="I30" t="s">
        <v>319</v>
      </c>
      <c r="J30">
        <v>275.83999999999997</v>
      </c>
      <c r="K30">
        <v>1</v>
      </c>
      <c r="L30">
        <v>207.88</v>
      </c>
    </row>
    <row r="31" spans="3:12" x14ac:dyDescent="0.35">
      <c r="C31" t="s">
        <v>33</v>
      </c>
      <c r="D31" s="1">
        <v>45424</v>
      </c>
      <c r="E31" s="1" t="str">
        <f>TEXT(Table1[[#This Row],[Date]],"MMM")</f>
        <v>May</v>
      </c>
      <c r="F31" s="1" t="str">
        <f>TEXT(Table1[[#This Row],[Date]],"yyyy")</f>
        <v>2024</v>
      </c>
      <c r="G31" t="s">
        <v>309</v>
      </c>
      <c r="H31" t="s">
        <v>314</v>
      </c>
      <c r="I31" t="s">
        <v>316</v>
      </c>
      <c r="J31">
        <v>2055.84</v>
      </c>
      <c r="K31">
        <v>2</v>
      </c>
      <c r="L31">
        <v>782.83</v>
      </c>
    </row>
    <row r="32" spans="3:12" x14ac:dyDescent="0.35">
      <c r="C32" t="s">
        <v>34</v>
      </c>
      <c r="D32" s="1">
        <v>45602</v>
      </c>
      <c r="E32" s="1" t="str">
        <f>TEXT(Table1[[#This Row],[Date]],"MMM")</f>
        <v>Nov</v>
      </c>
      <c r="F32" s="1" t="str">
        <f>TEXT(Table1[[#This Row],[Date]],"yyyy")</f>
        <v>2024</v>
      </c>
      <c r="G32" t="s">
        <v>310</v>
      </c>
      <c r="H32" t="s">
        <v>315</v>
      </c>
      <c r="I32" t="s">
        <v>317</v>
      </c>
      <c r="J32">
        <v>7075.97</v>
      </c>
      <c r="K32">
        <v>8</v>
      </c>
      <c r="L32">
        <v>758.54</v>
      </c>
    </row>
    <row r="33" spans="3:12" x14ac:dyDescent="0.35">
      <c r="C33" t="s">
        <v>35</v>
      </c>
      <c r="D33" s="1">
        <v>45143</v>
      </c>
      <c r="E33" s="1" t="str">
        <f>TEXT(Table1[[#This Row],[Date]],"MMM")</f>
        <v>Aug</v>
      </c>
      <c r="F33" s="1" t="str">
        <f>TEXT(Table1[[#This Row],[Date]],"yyyy")</f>
        <v>2023</v>
      </c>
      <c r="G33" t="s">
        <v>313</v>
      </c>
      <c r="H33" t="s">
        <v>315</v>
      </c>
      <c r="I33" t="s">
        <v>318</v>
      </c>
      <c r="J33">
        <v>7542.93</v>
      </c>
      <c r="K33">
        <v>9</v>
      </c>
      <c r="L33">
        <v>609.11</v>
      </c>
    </row>
    <row r="34" spans="3:12" x14ac:dyDescent="0.35">
      <c r="C34" t="s">
        <v>36</v>
      </c>
      <c r="D34" s="1">
        <v>45335</v>
      </c>
      <c r="E34" s="1" t="str">
        <f>TEXT(Table1[[#This Row],[Date]],"MMM")</f>
        <v>Feb</v>
      </c>
      <c r="F34" s="1" t="str">
        <f>TEXT(Table1[[#This Row],[Date]],"yyyy")</f>
        <v>2024</v>
      </c>
      <c r="G34" t="s">
        <v>308</v>
      </c>
      <c r="H34" t="s">
        <v>314</v>
      </c>
      <c r="I34" t="s">
        <v>319</v>
      </c>
      <c r="J34">
        <v>2836.67</v>
      </c>
      <c r="K34">
        <v>6</v>
      </c>
      <c r="L34">
        <v>361.72</v>
      </c>
    </row>
    <row r="35" spans="3:12" x14ac:dyDescent="0.35">
      <c r="C35" t="s">
        <v>37</v>
      </c>
      <c r="D35" s="1">
        <v>45157</v>
      </c>
      <c r="E35" s="1" t="str">
        <f>TEXT(Table1[[#This Row],[Date]],"MMM")</f>
        <v>Aug</v>
      </c>
      <c r="F35" s="1" t="str">
        <f>TEXT(Table1[[#This Row],[Date]],"yyyy")</f>
        <v>2023</v>
      </c>
      <c r="G35" t="s">
        <v>309</v>
      </c>
      <c r="H35" t="s">
        <v>314</v>
      </c>
      <c r="I35" t="s">
        <v>317</v>
      </c>
      <c r="J35">
        <v>757.69</v>
      </c>
      <c r="K35">
        <v>2</v>
      </c>
      <c r="L35">
        <v>283.70999999999998</v>
      </c>
    </row>
    <row r="36" spans="3:12" x14ac:dyDescent="0.35">
      <c r="C36" t="s">
        <v>38</v>
      </c>
      <c r="D36" s="1">
        <v>44934</v>
      </c>
      <c r="E36" s="1" t="str">
        <f>TEXT(Table1[[#This Row],[Date]],"MMM")</f>
        <v>Jan</v>
      </c>
      <c r="F36" s="1" t="str">
        <f>TEXT(Table1[[#This Row],[Date]],"yyyy")</f>
        <v>2023</v>
      </c>
      <c r="G36" t="s">
        <v>310</v>
      </c>
      <c r="H36" t="s">
        <v>315</v>
      </c>
      <c r="I36" t="s">
        <v>317</v>
      </c>
      <c r="J36">
        <v>1285.6099999999999</v>
      </c>
      <c r="K36">
        <v>2</v>
      </c>
      <c r="L36">
        <v>572.12</v>
      </c>
    </row>
    <row r="37" spans="3:12" x14ac:dyDescent="0.35">
      <c r="C37" t="s">
        <v>39</v>
      </c>
      <c r="D37" s="1">
        <v>45265</v>
      </c>
      <c r="E37" s="1" t="str">
        <f>TEXT(Table1[[#This Row],[Date]],"MMM")</f>
        <v>Dec</v>
      </c>
      <c r="F37" s="1" t="str">
        <f>TEXT(Table1[[#This Row],[Date]],"yyyy")</f>
        <v>2023</v>
      </c>
      <c r="G37" t="s">
        <v>309</v>
      </c>
      <c r="H37" t="s">
        <v>314</v>
      </c>
      <c r="I37" t="s">
        <v>316</v>
      </c>
      <c r="J37">
        <v>1020.09</v>
      </c>
      <c r="K37">
        <v>2</v>
      </c>
      <c r="L37">
        <v>421.04</v>
      </c>
    </row>
    <row r="38" spans="3:12" x14ac:dyDescent="0.35">
      <c r="C38" t="s">
        <v>40</v>
      </c>
      <c r="D38" s="1">
        <v>45479</v>
      </c>
      <c r="E38" s="1" t="str">
        <f>TEXT(Table1[[#This Row],[Date]],"MMM")</f>
        <v>Jul</v>
      </c>
      <c r="F38" s="1" t="str">
        <f>TEXT(Table1[[#This Row],[Date]],"yyyy")</f>
        <v>2024</v>
      </c>
      <c r="G38" t="s">
        <v>311</v>
      </c>
      <c r="H38" t="s">
        <v>314</v>
      </c>
      <c r="I38" t="s">
        <v>317</v>
      </c>
      <c r="J38">
        <v>2546.5300000000002</v>
      </c>
      <c r="K38">
        <v>3</v>
      </c>
      <c r="L38">
        <v>584.22</v>
      </c>
    </row>
    <row r="39" spans="3:12" x14ac:dyDescent="0.35">
      <c r="C39" t="s">
        <v>41</v>
      </c>
      <c r="D39" s="1">
        <v>45175</v>
      </c>
      <c r="E39" s="1" t="str">
        <f>TEXT(Table1[[#This Row],[Date]],"MMM")</f>
        <v>Sept</v>
      </c>
      <c r="F39" s="1" t="str">
        <f>TEXT(Table1[[#This Row],[Date]],"yyyy")</f>
        <v>2023</v>
      </c>
      <c r="G39" t="s">
        <v>313</v>
      </c>
      <c r="H39" t="s">
        <v>315</v>
      </c>
      <c r="I39" t="s">
        <v>318</v>
      </c>
      <c r="J39">
        <v>6114.64</v>
      </c>
      <c r="K39">
        <v>8</v>
      </c>
      <c r="L39">
        <v>649.85</v>
      </c>
    </row>
    <row r="40" spans="3:12" x14ac:dyDescent="0.35">
      <c r="C40" t="s">
        <v>42</v>
      </c>
      <c r="D40" s="1">
        <v>45289</v>
      </c>
      <c r="E40" s="1" t="str">
        <f>TEXT(Table1[[#This Row],[Date]],"MMM")</f>
        <v>Dec</v>
      </c>
      <c r="F40" s="1" t="str">
        <f>TEXT(Table1[[#This Row],[Date]],"yyyy")</f>
        <v>2023</v>
      </c>
      <c r="G40" t="s">
        <v>309</v>
      </c>
      <c r="H40" t="s">
        <v>314</v>
      </c>
      <c r="I40" t="s">
        <v>318</v>
      </c>
      <c r="J40">
        <v>3447.05</v>
      </c>
      <c r="K40">
        <v>7</v>
      </c>
      <c r="L40">
        <v>340.66</v>
      </c>
    </row>
    <row r="41" spans="3:12" x14ac:dyDescent="0.35">
      <c r="C41" t="s">
        <v>43</v>
      </c>
      <c r="D41" s="1">
        <v>44989</v>
      </c>
      <c r="E41" s="1" t="str">
        <f>TEXT(Table1[[#This Row],[Date]],"MMM")</f>
        <v>Mar</v>
      </c>
      <c r="F41" s="1" t="str">
        <f>TEXT(Table1[[#This Row],[Date]],"yyyy")</f>
        <v>2023</v>
      </c>
      <c r="G41" t="s">
        <v>309</v>
      </c>
      <c r="H41" t="s">
        <v>314</v>
      </c>
      <c r="I41" t="s">
        <v>316</v>
      </c>
      <c r="J41">
        <v>5845.79</v>
      </c>
      <c r="K41">
        <v>7</v>
      </c>
      <c r="L41">
        <v>588.01</v>
      </c>
    </row>
    <row r="42" spans="3:12" x14ac:dyDescent="0.35">
      <c r="C42" t="s">
        <v>44</v>
      </c>
      <c r="D42" s="1">
        <v>45123</v>
      </c>
      <c r="E42" s="1" t="str">
        <f>TEXT(Table1[[#This Row],[Date]],"MMM")</f>
        <v>Jul</v>
      </c>
      <c r="F42" s="1" t="str">
        <f>TEXT(Table1[[#This Row],[Date]],"yyyy")</f>
        <v>2023</v>
      </c>
      <c r="G42" t="s">
        <v>309</v>
      </c>
      <c r="H42" t="s">
        <v>314</v>
      </c>
      <c r="I42" t="s">
        <v>317</v>
      </c>
      <c r="J42">
        <v>2026.83</v>
      </c>
      <c r="K42">
        <v>4</v>
      </c>
      <c r="L42">
        <v>438.3</v>
      </c>
    </row>
    <row r="43" spans="3:12" x14ac:dyDescent="0.35">
      <c r="C43" t="s">
        <v>45</v>
      </c>
      <c r="D43" s="1">
        <v>45400</v>
      </c>
      <c r="E43" s="1" t="str">
        <f>TEXT(Table1[[#This Row],[Date]],"MMM")</f>
        <v>Apr</v>
      </c>
      <c r="F43" s="1" t="str">
        <f>TEXT(Table1[[#This Row],[Date]],"yyyy")</f>
        <v>2024</v>
      </c>
      <c r="G43" t="s">
        <v>310</v>
      </c>
      <c r="H43" t="s">
        <v>315</v>
      </c>
      <c r="I43" t="s">
        <v>319</v>
      </c>
      <c r="J43">
        <v>3173.92</v>
      </c>
      <c r="K43">
        <v>4</v>
      </c>
      <c r="L43">
        <v>702.1</v>
      </c>
    </row>
    <row r="44" spans="3:12" x14ac:dyDescent="0.35">
      <c r="C44" t="s">
        <v>46</v>
      </c>
      <c r="D44" s="1">
        <v>44978</v>
      </c>
      <c r="E44" s="1" t="str">
        <f>TEXT(Table1[[#This Row],[Date]],"MMM")</f>
        <v>Feb</v>
      </c>
      <c r="F44" s="1" t="str">
        <f>TEXT(Table1[[#This Row],[Date]],"yyyy")</f>
        <v>2023</v>
      </c>
      <c r="G44" t="s">
        <v>313</v>
      </c>
      <c r="H44" t="s">
        <v>315</v>
      </c>
      <c r="I44" t="s">
        <v>316</v>
      </c>
      <c r="J44">
        <v>8998.33</v>
      </c>
      <c r="K44">
        <v>9</v>
      </c>
      <c r="L44">
        <v>672.1</v>
      </c>
    </row>
    <row r="45" spans="3:12" x14ac:dyDescent="0.35">
      <c r="C45" t="s">
        <v>47</v>
      </c>
      <c r="D45" s="1">
        <v>45343</v>
      </c>
      <c r="E45" s="1" t="str">
        <f>TEXT(Table1[[#This Row],[Date]],"MMM")</f>
        <v>Feb</v>
      </c>
      <c r="F45" s="1" t="str">
        <f>TEXT(Table1[[#This Row],[Date]],"yyyy")</f>
        <v>2024</v>
      </c>
      <c r="G45" t="s">
        <v>310</v>
      </c>
      <c r="H45" t="s">
        <v>315</v>
      </c>
      <c r="I45" t="s">
        <v>317</v>
      </c>
      <c r="J45">
        <v>4574.24</v>
      </c>
      <c r="K45">
        <v>8</v>
      </c>
      <c r="L45">
        <v>395.46</v>
      </c>
    </row>
    <row r="46" spans="3:12" x14ac:dyDescent="0.35">
      <c r="C46" t="s">
        <v>48</v>
      </c>
      <c r="D46" s="1">
        <v>45315</v>
      </c>
      <c r="E46" s="1" t="str">
        <f>TEXT(Table1[[#This Row],[Date]],"MMM")</f>
        <v>Jan</v>
      </c>
      <c r="F46" s="1" t="str">
        <f>TEXT(Table1[[#This Row],[Date]],"yyyy")</f>
        <v>2024</v>
      </c>
      <c r="G46" t="s">
        <v>309</v>
      </c>
      <c r="H46" t="s">
        <v>314</v>
      </c>
      <c r="I46" t="s">
        <v>317</v>
      </c>
      <c r="J46">
        <v>951.04</v>
      </c>
      <c r="K46">
        <v>1</v>
      </c>
      <c r="L46">
        <v>788.54</v>
      </c>
    </row>
    <row r="47" spans="3:12" x14ac:dyDescent="0.35">
      <c r="C47" t="s">
        <v>49</v>
      </c>
      <c r="D47" s="1">
        <v>45360</v>
      </c>
      <c r="E47" s="1" t="str">
        <f>TEXT(Table1[[#This Row],[Date]],"MMM")</f>
        <v>Mar</v>
      </c>
      <c r="F47" s="1" t="str">
        <f>TEXT(Table1[[#This Row],[Date]],"yyyy")</f>
        <v>2024</v>
      </c>
      <c r="G47" t="s">
        <v>311</v>
      </c>
      <c r="H47" t="s">
        <v>314</v>
      </c>
      <c r="I47" t="s">
        <v>319</v>
      </c>
      <c r="J47">
        <v>6248.51</v>
      </c>
      <c r="K47">
        <v>9</v>
      </c>
      <c r="L47">
        <v>536.26</v>
      </c>
    </row>
    <row r="48" spans="3:12" x14ac:dyDescent="0.35">
      <c r="C48" t="s">
        <v>50</v>
      </c>
      <c r="D48" s="1">
        <v>45149</v>
      </c>
      <c r="E48" s="1" t="str">
        <f>TEXT(Table1[[#This Row],[Date]],"MMM")</f>
        <v>Aug</v>
      </c>
      <c r="F48" s="1" t="str">
        <f>TEXT(Table1[[#This Row],[Date]],"yyyy")</f>
        <v>2023</v>
      </c>
      <c r="G48" t="s">
        <v>310</v>
      </c>
      <c r="H48" t="s">
        <v>315</v>
      </c>
      <c r="I48" t="s">
        <v>319</v>
      </c>
      <c r="J48">
        <v>621.25</v>
      </c>
      <c r="K48">
        <v>1</v>
      </c>
      <c r="L48">
        <v>471.76</v>
      </c>
    </row>
    <row r="49" spans="3:12" x14ac:dyDescent="0.35">
      <c r="C49" t="s">
        <v>51</v>
      </c>
      <c r="D49" s="1">
        <v>44985</v>
      </c>
      <c r="E49" s="1" t="str">
        <f>TEXT(Table1[[#This Row],[Date]],"MMM")</f>
        <v>Feb</v>
      </c>
      <c r="F49" s="1" t="str">
        <f>TEXT(Table1[[#This Row],[Date]],"yyyy")</f>
        <v>2023</v>
      </c>
      <c r="G49" t="s">
        <v>308</v>
      </c>
      <c r="H49" t="s">
        <v>314</v>
      </c>
      <c r="I49" t="s">
        <v>319</v>
      </c>
      <c r="J49">
        <v>618.9</v>
      </c>
      <c r="K49">
        <v>1</v>
      </c>
      <c r="L49">
        <v>475.66</v>
      </c>
    </row>
    <row r="50" spans="3:12" x14ac:dyDescent="0.35">
      <c r="C50" t="s">
        <v>52</v>
      </c>
      <c r="D50" s="1">
        <v>44985</v>
      </c>
      <c r="E50" s="1" t="str">
        <f>TEXT(Table1[[#This Row],[Date]],"MMM")</f>
        <v>Feb</v>
      </c>
      <c r="F50" s="1" t="str">
        <f>TEXT(Table1[[#This Row],[Date]],"yyyy")</f>
        <v>2023</v>
      </c>
      <c r="G50" t="s">
        <v>313</v>
      </c>
      <c r="H50" t="s">
        <v>315</v>
      </c>
      <c r="I50" t="s">
        <v>317</v>
      </c>
      <c r="J50">
        <v>871.83</v>
      </c>
      <c r="K50">
        <v>9</v>
      </c>
      <c r="L50">
        <v>82.49</v>
      </c>
    </row>
    <row r="51" spans="3:12" x14ac:dyDescent="0.35">
      <c r="C51" t="s">
        <v>53</v>
      </c>
      <c r="D51" s="1">
        <v>45618</v>
      </c>
      <c r="E51" s="1" t="str">
        <f>TEXT(Table1[[#This Row],[Date]],"MMM")</f>
        <v>Nov</v>
      </c>
      <c r="F51" s="1" t="str">
        <f>TEXT(Table1[[#This Row],[Date]],"yyyy")</f>
        <v>2024</v>
      </c>
      <c r="G51" t="s">
        <v>313</v>
      </c>
      <c r="H51" t="s">
        <v>315</v>
      </c>
      <c r="I51" t="s">
        <v>316</v>
      </c>
      <c r="J51">
        <v>1978.34</v>
      </c>
      <c r="K51">
        <v>4</v>
      </c>
      <c r="L51">
        <v>334.94</v>
      </c>
    </row>
    <row r="52" spans="3:12" x14ac:dyDescent="0.35">
      <c r="C52" t="s">
        <v>54</v>
      </c>
      <c r="D52" s="1">
        <v>45519</v>
      </c>
      <c r="E52" s="1" t="str">
        <f>TEXT(Table1[[#This Row],[Date]],"MMM")</f>
        <v>Aug</v>
      </c>
      <c r="F52" s="1" t="str">
        <f>TEXT(Table1[[#This Row],[Date]],"yyyy")</f>
        <v>2024</v>
      </c>
      <c r="G52" t="s">
        <v>313</v>
      </c>
      <c r="H52" t="s">
        <v>315</v>
      </c>
      <c r="I52" t="s">
        <v>317</v>
      </c>
      <c r="J52">
        <v>577.72</v>
      </c>
      <c r="K52">
        <v>10</v>
      </c>
      <c r="L52">
        <v>51</v>
      </c>
    </row>
    <row r="53" spans="3:12" x14ac:dyDescent="0.35">
      <c r="C53" t="s">
        <v>55</v>
      </c>
      <c r="D53" s="1">
        <v>45194</v>
      </c>
      <c r="E53" s="1" t="str">
        <f>TEXT(Table1[[#This Row],[Date]],"MMM")</f>
        <v>Sept</v>
      </c>
      <c r="F53" s="1" t="str">
        <f>TEXT(Table1[[#This Row],[Date]],"yyyy")</f>
        <v>2023</v>
      </c>
      <c r="G53" t="s">
        <v>308</v>
      </c>
      <c r="H53" t="s">
        <v>314</v>
      </c>
      <c r="I53" t="s">
        <v>319</v>
      </c>
      <c r="J53">
        <v>2659.17</v>
      </c>
      <c r="K53">
        <v>4</v>
      </c>
      <c r="L53">
        <v>542.39</v>
      </c>
    </row>
    <row r="54" spans="3:12" x14ac:dyDescent="0.35">
      <c r="C54" t="s">
        <v>56</v>
      </c>
      <c r="D54" s="1">
        <v>45061</v>
      </c>
      <c r="E54" s="1" t="str">
        <f>TEXT(Table1[[#This Row],[Date]],"MMM")</f>
        <v>May</v>
      </c>
      <c r="F54" s="1" t="str">
        <f>TEXT(Table1[[#This Row],[Date]],"yyyy")</f>
        <v>2023</v>
      </c>
      <c r="G54" t="s">
        <v>312</v>
      </c>
      <c r="H54" t="s">
        <v>315</v>
      </c>
      <c r="I54" t="s">
        <v>318</v>
      </c>
      <c r="J54">
        <v>2771.33</v>
      </c>
      <c r="K54">
        <v>5</v>
      </c>
      <c r="L54">
        <v>376.64</v>
      </c>
    </row>
    <row r="55" spans="3:12" x14ac:dyDescent="0.35">
      <c r="C55" t="s">
        <v>57</v>
      </c>
      <c r="D55" s="1">
        <v>45396</v>
      </c>
      <c r="E55" s="1" t="str">
        <f>TEXT(Table1[[#This Row],[Date]],"MMM")</f>
        <v>Apr</v>
      </c>
      <c r="F55" s="1" t="str">
        <f>TEXT(Table1[[#This Row],[Date]],"yyyy")</f>
        <v>2024</v>
      </c>
      <c r="G55" t="s">
        <v>309</v>
      </c>
      <c r="H55" t="s">
        <v>314</v>
      </c>
      <c r="I55" t="s">
        <v>316</v>
      </c>
      <c r="J55">
        <v>11969.38</v>
      </c>
      <c r="K55">
        <v>10</v>
      </c>
      <c r="L55">
        <v>798.79</v>
      </c>
    </row>
    <row r="56" spans="3:12" x14ac:dyDescent="0.35">
      <c r="C56" t="s">
        <v>58</v>
      </c>
      <c r="D56" s="1">
        <v>45445</v>
      </c>
      <c r="E56" s="1" t="str">
        <f>TEXT(Table1[[#This Row],[Date]],"MMM")</f>
        <v>Jun</v>
      </c>
      <c r="F56" s="1" t="str">
        <f>TEXT(Table1[[#This Row],[Date]],"yyyy")</f>
        <v>2024</v>
      </c>
      <c r="G56" t="s">
        <v>309</v>
      </c>
      <c r="H56" t="s">
        <v>314</v>
      </c>
      <c r="I56" t="s">
        <v>317</v>
      </c>
      <c r="J56">
        <v>764.34</v>
      </c>
      <c r="K56">
        <v>5</v>
      </c>
      <c r="L56">
        <v>123.32</v>
      </c>
    </row>
    <row r="57" spans="3:12" x14ac:dyDescent="0.35">
      <c r="C57" t="s">
        <v>59</v>
      </c>
      <c r="D57" s="1">
        <v>45305</v>
      </c>
      <c r="E57" s="1" t="str">
        <f>TEXT(Table1[[#This Row],[Date]],"MMM")</f>
        <v>Jan</v>
      </c>
      <c r="F57" s="1" t="str">
        <f>TEXT(Table1[[#This Row],[Date]],"yyyy")</f>
        <v>2024</v>
      </c>
      <c r="G57" t="s">
        <v>309</v>
      </c>
      <c r="H57" t="s">
        <v>314</v>
      </c>
      <c r="I57" t="s">
        <v>317</v>
      </c>
      <c r="J57">
        <v>1025.24</v>
      </c>
      <c r="K57">
        <v>5</v>
      </c>
      <c r="L57">
        <v>143.04</v>
      </c>
    </row>
    <row r="58" spans="3:12" x14ac:dyDescent="0.35">
      <c r="C58" t="s">
        <v>60</v>
      </c>
      <c r="D58" s="1">
        <v>45553</v>
      </c>
      <c r="E58" s="1" t="str">
        <f>TEXT(Table1[[#This Row],[Date]],"MMM")</f>
        <v>Sept</v>
      </c>
      <c r="F58" s="1" t="str">
        <f>TEXT(Table1[[#This Row],[Date]],"yyyy")</f>
        <v>2024</v>
      </c>
      <c r="G58" t="s">
        <v>308</v>
      </c>
      <c r="H58" t="s">
        <v>314</v>
      </c>
      <c r="I58" t="s">
        <v>319</v>
      </c>
      <c r="J58">
        <v>335.17</v>
      </c>
      <c r="K58">
        <v>9</v>
      </c>
      <c r="L58">
        <v>26.1</v>
      </c>
    </row>
    <row r="59" spans="3:12" x14ac:dyDescent="0.35">
      <c r="C59" t="s">
        <v>61</v>
      </c>
      <c r="D59" s="1">
        <v>45064</v>
      </c>
      <c r="E59" s="1" t="str">
        <f>TEXT(Table1[[#This Row],[Date]],"MMM")</f>
        <v>May</v>
      </c>
      <c r="F59" s="1" t="str">
        <f>TEXT(Table1[[#This Row],[Date]],"yyyy")</f>
        <v>2023</v>
      </c>
      <c r="G59" t="s">
        <v>312</v>
      </c>
      <c r="H59" t="s">
        <v>315</v>
      </c>
      <c r="I59" t="s">
        <v>316</v>
      </c>
      <c r="J59">
        <v>628.72</v>
      </c>
      <c r="K59">
        <v>5</v>
      </c>
      <c r="L59">
        <v>110.03</v>
      </c>
    </row>
    <row r="60" spans="3:12" x14ac:dyDescent="0.35">
      <c r="C60" t="s">
        <v>62</v>
      </c>
      <c r="D60" s="1">
        <v>45205</v>
      </c>
      <c r="E60" s="1" t="str">
        <f>TEXT(Table1[[#This Row],[Date]],"MMM")</f>
        <v>Oct</v>
      </c>
      <c r="F60" s="1" t="str">
        <f>TEXT(Table1[[#This Row],[Date]],"yyyy")</f>
        <v>2023</v>
      </c>
      <c r="G60" t="s">
        <v>313</v>
      </c>
      <c r="H60" t="s">
        <v>315</v>
      </c>
      <c r="I60" t="s">
        <v>317</v>
      </c>
      <c r="J60">
        <v>3410.54</v>
      </c>
      <c r="K60">
        <v>5</v>
      </c>
      <c r="L60">
        <v>491.77</v>
      </c>
    </row>
    <row r="61" spans="3:12" x14ac:dyDescent="0.35">
      <c r="C61" t="s">
        <v>63</v>
      </c>
      <c r="D61" s="1">
        <v>45444</v>
      </c>
      <c r="E61" s="1" t="str">
        <f>TEXT(Table1[[#This Row],[Date]],"MMM")</f>
        <v>Jun</v>
      </c>
      <c r="F61" s="1" t="str">
        <f>TEXT(Table1[[#This Row],[Date]],"yyyy")</f>
        <v>2024</v>
      </c>
      <c r="G61" t="s">
        <v>310</v>
      </c>
      <c r="H61" t="s">
        <v>315</v>
      </c>
      <c r="I61" t="s">
        <v>319</v>
      </c>
      <c r="J61">
        <v>2527</v>
      </c>
      <c r="K61">
        <v>8</v>
      </c>
      <c r="L61">
        <v>215.87</v>
      </c>
    </row>
    <row r="62" spans="3:12" x14ac:dyDescent="0.35">
      <c r="C62" t="s">
        <v>64</v>
      </c>
      <c r="D62" s="1">
        <v>45576</v>
      </c>
      <c r="E62" s="1" t="str">
        <f>TEXT(Table1[[#This Row],[Date]],"MMM")</f>
        <v>Oct</v>
      </c>
      <c r="F62" s="1" t="str">
        <f>TEXT(Table1[[#This Row],[Date]],"yyyy")</f>
        <v>2024</v>
      </c>
      <c r="G62" t="s">
        <v>309</v>
      </c>
      <c r="H62" t="s">
        <v>314</v>
      </c>
      <c r="I62" t="s">
        <v>316</v>
      </c>
      <c r="J62">
        <v>5217.38</v>
      </c>
      <c r="K62">
        <v>7</v>
      </c>
      <c r="L62">
        <v>666.89</v>
      </c>
    </row>
    <row r="63" spans="3:12" x14ac:dyDescent="0.35">
      <c r="C63" t="s">
        <v>65</v>
      </c>
      <c r="D63" s="1">
        <v>45579</v>
      </c>
      <c r="E63" s="1" t="str">
        <f>TEXT(Table1[[#This Row],[Date]],"MMM")</f>
        <v>Oct</v>
      </c>
      <c r="F63" s="1" t="str">
        <f>TEXT(Table1[[#This Row],[Date]],"yyyy")</f>
        <v>2024</v>
      </c>
      <c r="G63" t="s">
        <v>312</v>
      </c>
      <c r="H63" t="s">
        <v>315</v>
      </c>
      <c r="I63" t="s">
        <v>317</v>
      </c>
      <c r="J63">
        <v>932.21</v>
      </c>
      <c r="K63">
        <v>5</v>
      </c>
      <c r="L63">
        <v>146.03</v>
      </c>
    </row>
    <row r="64" spans="3:12" x14ac:dyDescent="0.35">
      <c r="C64" t="s">
        <v>66</v>
      </c>
      <c r="D64" s="1">
        <v>45501</v>
      </c>
      <c r="E64" s="1" t="str">
        <f>TEXT(Table1[[#This Row],[Date]],"MMM")</f>
        <v>Jul</v>
      </c>
      <c r="F64" s="1" t="str">
        <f>TEXT(Table1[[#This Row],[Date]],"yyyy")</f>
        <v>2024</v>
      </c>
      <c r="G64" t="s">
        <v>308</v>
      </c>
      <c r="H64" t="s">
        <v>314</v>
      </c>
      <c r="I64" t="s">
        <v>318</v>
      </c>
      <c r="J64">
        <v>158.53</v>
      </c>
      <c r="K64">
        <v>1</v>
      </c>
      <c r="L64">
        <v>107.26</v>
      </c>
    </row>
    <row r="65" spans="3:12" x14ac:dyDescent="0.35">
      <c r="C65" t="s">
        <v>67</v>
      </c>
      <c r="D65" s="1">
        <v>45485</v>
      </c>
      <c r="E65" s="1" t="str">
        <f>TEXT(Table1[[#This Row],[Date]],"MMM")</f>
        <v>Jul</v>
      </c>
      <c r="F65" s="1" t="str">
        <f>TEXT(Table1[[#This Row],[Date]],"yyyy")</f>
        <v>2024</v>
      </c>
      <c r="G65" t="s">
        <v>308</v>
      </c>
      <c r="H65" t="s">
        <v>314</v>
      </c>
      <c r="I65" t="s">
        <v>317</v>
      </c>
      <c r="J65">
        <v>894.42</v>
      </c>
      <c r="K65">
        <v>1</v>
      </c>
      <c r="L65">
        <v>670.98</v>
      </c>
    </row>
    <row r="66" spans="3:12" x14ac:dyDescent="0.35">
      <c r="C66" t="s">
        <v>68</v>
      </c>
      <c r="D66" s="1">
        <v>45057</v>
      </c>
      <c r="E66" s="1" t="str">
        <f>TEXT(Table1[[#This Row],[Date]],"MMM")</f>
        <v>May</v>
      </c>
      <c r="F66" s="1" t="str">
        <f>TEXT(Table1[[#This Row],[Date]],"yyyy")</f>
        <v>2023</v>
      </c>
      <c r="G66" t="s">
        <v>310</v>
      </c>
      <c r="H66" t="s">
        <v>315</v>
      </c>
      <c r="I66" t="s">
        <v>318</v>
      </c>
      <c r="J66">
        <v>380.14</v>
      </c>
      <c r="K66">
        <v>1</v>
      </c>
      <c r="L66">
        <v>260.44</v>
      </c>
    </row>
    <row r="67" spans="3:12" x14ac:dyDescent="0.35">
      <c r="C67" t="s">
        <v>69</v>
      </c>
      <c r="D67" s="1">
        <v>45142</v>
      </c>
      <c r="E67" s="1" t="str">
        <f>TEXT(Table1[[#This Row],[Date]],"MMM")</f>
        <v>Aug</v>
      </c>
      <c r="F67" s="1" t="str">
        <f>TEXT(Table1[[#This Row],[Date]],"yyyy")</f>
        <v>2023</v>
      </c>
      <c r="G67" t="s">
        <v>309</v>
      </c>
      <c r="H67" t="s">
        <v>314</v>
      </c>
      <c r="I67" t="s">
        <v>319</v>
      </c>
      <c r="J67">
        <v>2682.62</v>
      </c>
      <c r="K67">
        <v>4</v>
      </c>
      <c r="L67">
        <v>540.21</v>
      </c>
    </row>
    <row r="68" spans="3:12" x14ac:dyDescent="0.35">
      <c r="C68" t="s">
        <v>70</v>
      </c>
      <c r="D68" s="1">
        <v>45562</v>
      </c>
      <c r="E68" s="1" t="str">
        <f>TEXT(Table1[[#This Row],[Date]],"MMM")</f>
        <v>Sept</v>
      </c>
      <c r="F68" s="1" t="str">
        <f>TEXT(Table1[[#This Row],[Date]],"yyyy")</f>
        <v>2024</v>
      </c>
      <c r="G68" t="s">
        <v>313</v>
      </c>
      <c r="H68" t="s">
        <v>315</v>
      </c>
      <c r="I68" t="s">
        <v>318</v>
      </c>
      <c r="J68">
        <v>2659.75</v>
      </c>
      <c r="K68">
        <v>3</v>
      </c>
      <c r="L68">
        <v>742.1</v>
      </c>
    </row>
    <row r="69" spans="3:12" x14ac:dyDescent="0.35">
      <c r="C69" t="s">
        <v>71</v>
      </c>
      <c r="D69" s="1">
        <v>45349</v>
      </c>
      <c r="E69" s="1" t="str">
        <f>TEXT(Table1[[#This Row],[Date]],"MMM")</f>
        <v>Feb</v>
      </c>
      <c r="F69" s="1" t="str">
        <f>TEXT(Table1[[#This Row],[Date]],"yyyy")</f>
        <v>2024</v>
      </c>
      <c r="G69" t="s">
        <v>310</v>
      </c>
      <c r="H69" t="s">
        <v>315</v>
      </c>
      <c r="I69" t="s">
        <v>317</v>
      </c>
      <c r="J69">
        <v>235.02</v>
      </c>
      <c r="K69">
        <v>1</v>
      </c>
      <c r="L69">
        <v>159.9</v>
      </c>
    </row>
    <row r="70" spans="3:12" x14ac:dyDescent="0.35">
      <c r="C70" t="s">
        <v>72</v>
      </c>
      <c r="D70" s="1">
        <v>45200</v>
      </c>
      <c r="E70" s="1" t="str">
        <f>TEXT(Table1[[#This Row],[Date]],"MMM")</f>
        <v>Oct</v>
      </c>
      <c r="F70" s="1" t="str">
        <f>TEXT(Table1[[#This Row],[Date]],"yyyy")</f>
        <v>2023</v>
      </c>
      <c r="G70" t="s">
        <v>311</v>
      </c>
      <c r="H70" t="s">
        <v>314</v>
      </c>
      <c r="I70" t="s">
        <v>317</v>
      </c>
      <c r="J70">
        <v>2174.9499999999998</v>
      </c>
      <c r="K70">
        <v>3</v>
      </c>
      <c r="L70">
        <v>634.15</v>
      </c>
    </row>
    <row r="71" spans="3:12" x14ac:dyDescent="0.35">
      <c r="C71" t="s">
        <v>73</v>
      </c>
      <c r="D71" s="1">
        <v>45154</v>
      </c>
      <c r="E71" s="1" t="str">
        <f>TEXT(Table1[[#This Row],[Date]],"MMM")</f>
        <v>Aug</v>
      </c>
      <c r="F71" s="1" t="str">
        <f>TEXT(Table1[[#This Row],[Date]],"yyyy")</f>
        <v>2023</v>
      </c>
      <c r="G71" t="s">
        <v>309</v>
      </c>
      <c r="H71" t="s">
        <v>314</v>
      </c>
      <c r="I71" t="s">
        <v>318</v>
      </c>
      <c r="J71">
        <v>3374.36</v>
      </c>
      <c r="K71">
        <v>4</v>
      </c>
      <c r="L71">
        <v>656.94</v>
      </c>
    </row>
    <row r="72" spans="3:12" x14ac:dyDescent="0.35">
      <c r="C72" t="s">
        <v>74</v>
      </c>
      <c r="D72" s="1">
        <v>45155</v>
      </c>
      <c r="E72" s="1" t="str">
        <f>TEXT(Table1[[#This Row],[Date]],"MMM")</f>
        <v>Aug</v>
      </c>
      <c r="F72" s="1" t="str">
        <f>TEXT(Table1[[#This Row],[Date]],"yyyy")</f>
        <v>2023</v>
      </c>
      <c r="G72" t="s">
        <v>312</v>
      </c>
      <c r="H72" t="s">
        <v>315</v>
      </c>
      <c r="I72" t="s">
        <v>317</v>
      </c>
      <c r="J72">
        <v>673.56</v>
      </c>
      <c r="K72">
        <v>1</v>
      </c>
      <c r="L72">
        <v>534.83000000000004</v>
      </c>
    </row>
    <row r="73" spans="3:12" x14ac:dyDescent="0.35">
      <c r="C73" t="s">
        <v>75</v>
      </c>
      <c r="D73" s="1">
        <v>45212</v>
      </c>
      <c r="E73" s="1" t="str">
        <f>TEXT(Table1[[#This Row],[Date]],"MMM")</f>
        <v>Oct</v>
      </c>
      <c r="F73" s="1" t="str">
        <f>TEXT(Table1[[#This Row],[Date]],"yyyy")</f>
        <v>2023</v>
      </c>
      <c r="G73" t="s">
        <v>312</v>
      </c>
      <c r="H73" t="s">
        <v>315</v>
      </c>
      <c r="I73" t="s">
        <v>316</v>
      </c>
      <c r="J73">
        <v>3933.52</v>
      </c>
      <c r="K73">
        <v>6</v>
      </c>
      <c r="L73">
        <v>520.36</v>
      </c>
    </row>
    <row r="74" spans="3:12" x14ac:dyDescent="0.35">
      <c r="C74" t="s">
        <v>76</v>
      </c>
      <c r="D74" s="1">
        <v>44955</v>
      </c>
      <c r="E74" s="1" t="str">
        <f>TEXT(Table1[[#This Row],[Date]],"MMM")</f>
        <v>Jan</v>
      </c>
      <c r="F74" s="1" t="str">
        <f>TEXT(Table1[[#This Row],[Date]],"yyyy")</f>
        <v>2023</v>
      </c>
      <c r="G74" t="s">
        <v>313</v>
      </c>
      <c r="H74" t="s">
        <v>315</v>
      </c>
      <c r="I74" t="s">
        <v>319</v>
      </c>
      <c r="J74">
        <v>1696.13</v>
      </c>
      <c r="K74">
        <v>2</v>
      </c>
      <c r="L74">
        <v>704.09</v>
      </c>
    </row>
    <row r="75" spans="3:12" x14ac:dyDescent="0.35">
      <c r="C75" t="s">
        <v>77</v>
      </c>
      <c r="D75" s="1">
        <v>44966</v>
      </c>
      <c r="E75" s="1" t="str">
        <f>TEXT(Table1[[#This Row],[Date]],"MMM")</f>
        <v>Feb</v>
      </c>
      <c r="F75" s="1" t="str">
        <f>TEXT(Table1[[#This Row],[Date]],"yyyy")</f>
        <v>2023</v>
      </c>
      <c r="G75" t="s">
        <v>313</v>
      </c>
      <c r="H75" t="s">
        <v>315</v>
      </c>
      <c r="I75" t="s">
        <v>319</v>
      </c>
      <c r="J75">
        <v>1201.94</v>
      </c>
      <c r="K75">
        <v>2</v>
      </c>
      <c r="L75">
        <v>485.33</v>
      </c>
    </row>
    <row r="76" spans="3:12" x14ac:dyDescent="0.35">
      <c r="C76" t="s">
        <v>78</v>
      </c>
      <c r="D76" s="1">
        <v>45547</v>
      </c>
      <c r="E76" s="1" t="str">
        <f>TEXT(Table1[[#This Row],[Date]],"MMM")</f>
        <v>Sept</v>
      </c>
      <c r="F76" s="1" t="str">
        <f>TEXT(Table1[[#This Row],[Date]],"yyyy")</f>
        <v>2024</v>
      </c>
      <c r="G76" t="s">
        <v>312</v>
      </c>
      <c r="H76" t="s">
        <v>315</v>
      </c>
      <c r="I76" t="s">
        <v>318</v>
      </c>
      <c r="J76">
        <v>1447.83</v>
      </c>
      <c r="K76">
        <v>9</v>
      </c>
      <c r="L76">
        <v>110.2</v>
      </c>
    </row>
    <row r="77" spans="3:12" x14ac:dyDescent="0.35">
      <c r="C77" t="s">
        <v>79</v>
      </c>
      <c r="D77" s="1">
        <v>44972</v>
      </c>
      <c r="E77" s="1" t="str">
        <f>TEXT(Table1[[#This Row],[Date]],"MMM")</f>
        <v>Feb</v>
      </c>
      <c r="F77" s="1" t="str">
        <f>TEXT(Table1[[#This Row],[Date]],"yyyy")</f>
        <v>2023</v>
      </c>
      <c r="G77" t="s">
        <v>310</v>
      </c>
      <c r="H77" t="s">
        <v>315</v>
      </c>
      <c r="I77" t="s">
        <v>319</v>
      </c>
      <c r="J77">
        <v>219.42</v>
      </c>
      <c r="K77">
        <v>7</v>
      </c>
      <c r="L77">
        <v>21.32</v>
      </c>
    </row>
    <row r="78" spans="3:12" x14ac:dyDescent="0.35">
      <c r="C78" t="s">
        <v>80</v>
      </c>
      <c r="D78" s="1">
        <v>45299</v>
      </c>
      <c r="E78" s="1" t="str">
        <f>TEXT(Table1[[#This Row],[Date]],"MMM")</f>
        <v>Jan</v>
      </c>
      <c r="F78" s="1" t="str">
        <f>TEXT(Table1[[#This Row],[Date]],"yyyy")</f>
        <v>2024</v>
      </c>
      <c r="G78" t="s">
        <v>313</v>
      </c>
      <c r="H78" t="s">
        <v>315</v>
      </c>
      <c r="I78" t="s">
        <v>317</v>
      </c>
      <c r="J78">
        <v>712.97</v>
      </c>
      <c r="K78">
        <v>7</v>
      </c>
      <c r="L78">
        <v>74.58</v>
      </c>
    </row>
    <row r="79" spans="3:12" x14ac:dyDescent="0.35">
      <c r="C79" t="s">
        <v>81</v>
      </c>
      <c r="D79" s="1">
        <v>45606</v>
      </c>
      <c r="E79" s="1" t="str">
        <f>TEXT(Table1[[#This Row],[Date]],"MMM")</f>
        <v>Nov</v>
      </c>
      <c r="F79" s="1" t="str">
        <f>TEXT(Table1[[#This Row],[Date]],"yyyy")</f>
        <v>2024</v>
      </c>
      <c r="G79" t="s">
        <v>312</v>
      </c>
      <c r="H79" t="s">
        <v>315</v>
      </c>
      <c r="I79" t="s">
        <v>319</v>
      </c>
      <c r="J79">
        <v>1418.79</v>
      </c>
      <c r="K79">
        <v>2</v>
      </c>
      <c r="L79">
        <v>581.41</v>
      </c>
    </row>
    <row r="80" spans="3:12" x14ac:dyDescent="0.35">
      <c r="C80" t="s">
        <v>82</v>
      </c>
      <c r="D80" s="1">
        <v>45261</v>
      </c>
      <c r="E80" s="1" t="str">
        <f>TEXT(Table1[[#This Row],[Date]],"MMM")</f>
        <v>Dec</v>
      </c>
      <c r="F80" s="1" t="str">
        <f>TEXT(Table1[[#This Row],[Date]],"yyyy")</f>
        <v>2023</v>
      </c>
      <c r="G80" t="s">
        <v>312</v>
      </c>
      <c r="H80" t="s">
        <v>315</v>
      </c>
      <c r="I80" t="s">
        <v>318</v>
      </c>
      <c r="J80">
        <v>5216.66</v>
      </c>
      <c r="K80">
        <v>7</v>
      </c>
      <c r="L80">
        <v>563.82000000000005</v>
      </c>
    </row>
    <row r="81" spans="3:12" x14ac:dyDescent="0.35">
      <c r="C81" t="s">
        <v>83</v>
      </c>
      <c r="D81" s="1">
        <v>45607</v>
      </c>
      <c r="E81" s="1" t="str">
        <f>TEXT(Table1[[#This Row],[Date]],"MMM")</f>
        <v>Nov</v>
      </c>
      <c r="F81" s="1" t="str">
        <f>TEXT(Table1[[#This Row],[Date]],"yyyy")</f>
        <v>2024</v>
      </c>
      <c r="G81" t="s">
        <v>310</v>
      </c>
      <c r="H81" t="s">
        <v>315</v>
      </c>
      <c r="I81" t="s">
        <v>318</v>
      </c>
      <c r="J81">
        <v>5608.04</v>
      </c>
      <c r="K81">
        <v>7</v>
      </c>
      <c r="L81">
        <v>548.30999999999995</v>
      </c>
    </row>
    <row r="82" spans="3:12" x14ac:dyDescent="0.35">
      <c r="C82" t="s">
        <v>84</v>
      </c>
      <c r="D82" s="1">
        <v>45342</v>
      </c>
      <c r="E82" s="1" t="str">
        <f>TEXT(Table1[[#This Row],[Date]],"MMM")</f>
        <v>Feb</v>
      </c>
      <c r="F82" s="1" t="str">
        <f>TEXT(Table1[[#This Row],[Date]],"yyyy")</f>
        <v>2024</v>
      </c>
      <c r="G82" t="s">
        <v>313</v>
      </c>
      <c r="H82" t="s">
        <v>315</v>
      </c>
      <c r="I82" t="s">
        <v>319</v>
      </c>
      <c r="J82">
        <v>7369.35</v>
      </c>
      <c r="K82">
        <v>9</v>
      </c>
      <c r="L82">
        <v>670.31</v>
      </c>
    </row>
    <row r="83" spans="3:12" x14ac:dyDescent="0.35">
      <c r="C83" t="s">
        <v>85</v>
      </c>
      <c r="D83" s="1">
        <v>45520</v>
      </c>
      <c r="E83" s="1" t="str">
        <f>TEXT(Table1[[#This Row],[Date]],"MMM")</f>
        <v>Aug</v>
      </c>
      <c r="F83" s="1" t="str">
        <f>TEXT(Table1[[#This Row],[Date]],"yyyy")</f>
        <v>2024</v>
      </c>
      <c r="G83" t="s">
        <v>310</v>
      </c>
      <c r="H83" t="s">
        <v>315</v>
      </c>
      <c r="I83" t="s">
        <v>318</v>
      </c>
      <c r="J83">
        <v>6824.39</v>
      </c>
      <c r="K83">
        <v>10</v>
      </c>
      <c r="L83">
        <v>530.66999999999996</v>
      </c>
    </row>
    <row r="84" spans="3:12" x14ac:dyDescent="0.35">
      <c r="C84" t="s">
        <v>86</v>
      </c>
      <c r="D84" s="1">
        <v>45450</v>
      </c>
      <c r="E84" s="1" t="str">
        <f>TEXT(Table1[[#This Row],[Date]],"MMM")</f>
        <v>Jun</v>
      </c>
      <c r="F84" s="1" t="str">
        <f>TEXT(Table1[[#This Row],[Date]],"yyyy")</f>
        <v>2024</v>
      </c>
      <c r="G84" t="s">
        <v>311</v>
      </c>
      <c r="H84" t="s">
        <v>314</v>
      </c>
      <c r="I84" t="s">
        <v>317</v>
      </c>
      <c r="J84">
        <v>7587.17</v>
      </c>
      <c r="K84">
        <v>8</v>
      </c>
      <c r="L84">
        <v>639.11</v>
      </c>
    </row>
    <row r="85" spans="3:12" x14ac:dyDescent="0.35">
      <c r="C85" t="s">
        <v>87</v>
      </c>
      <c r="D85" s="1">
        <v>45601</v>
      </c>
      <c r="E85" s="1" t="str">
        <f>TEXT(Table1[[#This Row],[Date]],"MMM")</f>
        <v>Nov</v>
      </c>
      <c r="F85" s="1" t="str">
        <f>TEXT(Table1[[#This Row],[Date]],"yyyy")</f>
        <v>2024</v>
      </c>
      <c r="G85" t="s">
        <v>308</v>
      </c>
      <c r="H85" t="s">
        <v>314</v>
      </c>
      <c r="I85" t="s">
        <v>317</v>
      </c>
      <c r="J85">
        <v>659.15</v>
      </c>
      <c r="K85">
        <v>2</v>
      </c>
      <c r="L85">
        <v>241.35</v>
      </c>
    </row>
    <row r="86" spans="3:12" x14ac:dyDescent="0.35">
      <c r="C86" t="s">
        <v>88</v>
      </c>
      <c r="D86" s="1">
        <v>45022</v>
      </c>
      <c r="E86" s="1" t="str">
        <f>TEXT(Table1[[#This Row],[Date]],"MMM")</f>
        <v>Apr</v>
      </c>
      <c r="F86" s="1" t="str">
        <f>TEXT(Table1[[#This Row],[Date]],"yyyy")</f>
        <v>2023</v>
      </c>
      <c r="G86" t="s">
        <v>313</v>
      </c>
      <c r="H86" t="s">
        <v>315</v>
      </c>
      <c r="I86" t="s">
        <v>319</v>
      </c>
      <c r="J86">
        <v>2592.84</v>
      </c>
      <c r="K86">
        <v>4</v>
      </c>
      <c r="L86">
        <v>544.78</v>
      </c>
    </row>
    <row r="87" spans="3:12" x14ac:dyDescent="0.35">
      <c r="C87" t="s">
        <v>89</v>
      </c>
      <c r="D87" s="1">
        <v>44952</v>
      </c>
      <c r="E87" s="1" t="str">
        <f>TEXT(Table1[[#This Row],[Date]],"MMM")</f>
        <v>Jan</v>
      </c>
      <c r="F87" s="1" t="str">
        <f>TEXT(Table1[[#This Row],[Date]],"yyyy")</f>
        <v>2023</v>
      </c>
      <c r="G87" t="s">
        <v>310</v>
      </c>
      <c r="H87" t="s">
        <v>315</v>
      </c>
      <c r="I87" t="s">
        <v>317</v>
      </c>
      <c r="J87">
        <v>272.18</v>
      </c>
      <c r="K87">
        <v>1</v>
      </c>
      <c r="L87">
        <v>210.98</v>
      </c>
    </row>
    <row r="88" spans="3:12" x14ac:dyDescent="0.35">
      <c r="C88" t="s">
        <v>90</v>
      </c>
      <c r="D88" s="1">
        <v>45351</v>
      </c>
      <c r="E88" s="1" t="str">
        <f>TEXT(Table1[[#This Row],[Date]],"MMM")</f>
        <v>Feb</v>
      </c>
      <c r="F88" s="1" t="str">
        <f>TEXT(Table1[[#This Row],[Date]],"yyyy")</f>
        <v>2024</v>
      </c>
      <c r="G88" t="s">
        <v>309</v>
      </c>
      <c r="H88" t="s">
        <v>314</v>
      </c>
      <c r="I88" t="s">
        <v>318</v>
      </c>
      <c r="J88">
        <v>2366.4</v>
      </c>
      <c r="K88">
        <v>10</v>
      </c>
      <c r="L88">
        <v>171.66</v>
      </c>
    </row>
    <row r="89" spans="3:12" x14ac:dyDescent="0.35">
      <c r="C89" t="s">
        <v>91</v>
      </c>
      <c r="D89" s="1">
        <v>45176</v>
      </c>
      <c r="E89" s="1" t="str">
        <f>TEXT(Table1[[#This Row],[Date]],"MMM")</f>
        <v>Sept</v>
      </c>
      <c r="F89" s="1" t="str">
        <f>TEXT(Table1[[#This Row],[Date]],"yyyy")</f>
        <v>2023</v>
      </c>
      <c r="G89" t="s">
        <v>311</v>
      </c>
      <c r="H89" t="s">
        <v>314</v>
      </c>
      <c r="I89" t="s">
        <v>318</v>
      </c>
      <c r="J89">
        <v>1758.25</v>
      </c>
      <c r="K89">
        <v>3</v>
      </c>
      <c r="L89">
        <v>531.73</v>
      </c>
    </row>
    <row r="90" spans="3:12" x14ac:dyDescent="0.35">
      <c r="C90" t="s">
        <v>92</v>
      </c>
      <c r="D90" s="1">
        <v>45151</v>
      </c>
      <c r="E90" s="1" t="str">
        <f>TEXT(Table1[[#This Row],[Date]],"MMM")</f>
        <v>Aug</v>
      </c>
      <c r="F90" s="1" t="str">
        <f>TEXT(Table1[[#This Row],[Date]],"yyyy")</f>
        <v>2023</v>
      </c>
      <c r="G90" t="s">
        <v>309</v>
      </c>
      <c r="H90" t="s">
        <v>314</v>
      </c>
      <c r="I90" t="s">
        <v>318</v>
      </c>
      <c r="J90">
        <v>2676.27</v>
      </c>
      <c r="K90">
        <v>3</v>
      </c>
      <c r="L90">
        <v>647.21</v>
      </c>
    </row>
    <row r="91" spans="3:12" x14ac:dyDescent="0.35">
      <c r="C91" t="s">
        <v>93</v>
      </c>
      <c r="D91" s="1">
        <v>45497</v>
      </c>
      <c r="E91" s="1" t="str">
        <f>TEXT(Table1[[#This Row],[Date]],"MMM")</f>
        <v>Jul</v>
      </c>
      <c r="F91" s="1" t="str">
        <f>TEXT(Table1[[#This Row],[Date]],"yyyy")</f>
        <v>2024</v>
      </c>
      <c r="G91" t="s">
        <v>311</v>
      </c>
      <c r="H91" t="s">
        <v>314</v>
      </c>
      <c r="I91" t="s">
        <v>316</v>
      </c>
      <c r="J91">
        <v>3379.61</v>
      </c>
      <c r="K91">
        <v>4</v>
      </c>
      <c r="L91">
        <v>735.63</v>
      </c>
    </row>
    <row r="92" spans="3:12" x14ac:dyDescent="0.35">
      <c r="C92" t="s">
        <v>94</v>
      </c>
      <c r="D92" s="1">
        <v>45610</v>
      </c>
      <c r="E92" s="1" t="str">
        <f>TEXT(Table1[[#This Row],[Date]],"MMM")</f>
        <v>Nov</v>
      </c>
      <c r="F92" s="1" t="str">
        <f>TEXT(Table1[[#This Row],[Date]],"yyyy")</f>
        <v>2024</v>
      </c>
      <c r="G92" t="s">
        <v>310</v>
      </c>
      <c r="H92" t="s">
        <v>315</v>
      </c>
      <c r="I92" t="s">
        <v>318</v>
      </c>
      <c r="J92">
        <v>9521.2099999999991</v>
      </c>
      <c r="K92">
        <v>9</v>
      </c>
      <c r="L92">
        <v>790.56</v>
      </c>
    </row>
    <row r="93" spans="3:12" x14ac:dyDescent="0.35">
      <c r="C93" t="s">
        <v>95</v>
      </c>
      <c r="D93" s="1">
        <v>45488</v>
      </c>
      <c r="E93" s="1" t="str">
        <f>TEXT(Table1[[#This Row],[Date]],"MMM")</f>
        <v>Jul</v>
      </c>
      <c r="F93" s="1" t="str">
        <f>TEXT(Table1[[#This Row],[Date]],"yyyy")</f>
        <v>2024</v>
      </c>
      <c r="G93" t="s">
        <v>311</v>
      </c>
      <c r="H93" t="s">
        <v>314</v>
      </c>
      <c r="I93" t="s">
        <v>318</v>
      </c>
      <c r="J93">
        <v>8047.37</v>
      </c>
      <c r="K93">
        <v>8</v>
      </c>
      <c r="L93">
        <v>719.82</v>
      </c>
    </row>
    <row r="94" spans="3:12" x14ac:dyDescent="0.35">
      <c r="C94" t="s">
        <v>96</v>
      </c>
      <c r="D94" s="1">
        <v>45192</v>
      </c>
      <c r="E94" s="1" t="str">
        <f>TEXT(Table1[[#This Row],[Date]],"MMM")</f>
        <v>Sept</v>
      </c>
      <c r="F94" s="1" t="str">
        <f>TEXT(Table1[[#This Row],[Date]],"yyyy")</f>
        <v>2023</v>
      </c>
      <c r="G94" t="s">
        <v>311</v>
      </c>
      <c r="H94" t="s">
        <v>314</v>
      </c>
      <c r="I94" t="s">
        <v>318</v>
      </c>
      <c r="J94">
        <v>3269.93</v>
      </c>
      <c r="K94">
        <v>4</v>
      </c>
      <c r="L94">
        <v>675.09</v>
      </c>
    </row>
    <row r="95" spans="3:12" x14ac:dyDescent="0.35">
      <c r="C95" t="s">
        <v>97</v>
      </c>
      <c r="D95" s="1">
        <v>45568</v>
      </c>
      <c r="E95" s="1" t="str">
        <f>TEXT(Table1[[#This Row],[Date]],"MMM")</f>
        <v>Oct</v>
      </c>
      <c r="F95" s="1" t="str">
        <f>TEXT(Table1[[#This Row],[Date]],"yyyy")</f>
        <v>2024</v>
      </c>
      <c r="G95" t="s">
        <v>313</v>
      </c>
      <c r="H95" t="s">
        <v>315</v>
      </c>
      <c r="I95" t="s">
        <v>318</v>
      </c>
      <c r="J95">
        <v>1059.47</v>
      </c>
      <c r="K95">
        <v>4</v>
      </c>
      <c r="L95">
        <v>234.19</v>
      </c>
    </row>
    <row r="96" spans="3:12" x14ac:dyDescent="0.35">
      <c r="C96" t="s">
        <v>98</v>
      </c>
      <c r="D96" s="1">
        <v>45205</v>
      </c>
      <c r="E96" s="1" t="str">
        <f>TEXT(Table1[[#This Row],[Date]],"MMM")</f>
        <v>Oct</v>
      </c>
      <c r="F96" s="1" t="str">
        <f>TEXT(Table1[[#This Row],[Date]],"yyyy")</f>
        <v>2023</v>
      </c>
      <c r="G96" t="s">
        <v>312</v>
      </c>
      <c r="H96" t="s">
        <v>315</v>
      </c>
      <c r="I96" t="s">
        <v>317</v>
      </c>
      <c r="J96">
        <v>2127.04</v>
      </c>
      <c r="K96">
        <v>6</v>
      </c>
      <c r="L96">
        <v>269.37</v>
      </c>
    </row>
    <row r="97" spans="3:12" x14ac:dyDescent="0.35">
      <c r="C97" t="s">
        <v>99</v>
      </c>
      <c r="D97" s="1">
        <v>45163</v>
      </c>
      <c r="E97" s="1" t="str">
        <f>TEXT(Table1[[#This Row],[Date]],"MMM")</f>
        <v>Aug</v>
      </c>
      <c r="F97" s="1" t="str">
        <f>TEXT(Table1[[#This Row],[Date]],"yyyy")</f>
        <v>2023</v>
      </c>
      <c r="G97" t="s">
        <v>310</v>
      </c>
      <c r="H97" t="s">
        <v>315</v>
      </c>
      <c r="I97" t="s">
        <v>317</v>
      </c>
      <c r="J97">
        <v>5432.05</v>
      </c>
      <c r="K97">
        <v>7</v>
      </c>
      <c r="L97">
        <v>561.28</v>
      </c>
    </row>
    <row r="98" spans="3:12" x14ac:dyDescent="0.35">
      <c r="C98" t="s">
        <v>100</v>
      </c>
      <c r="D98" s="1">
        <v>45344</v>
      </c>
      <c r="E98" s="1" t="str">
        <f>TEXT(Table1[[#This Row],[Date]],"MMM")</f>
        <v>Feb</v>
      </c>
      <c r="F98" s="1" t="str">
        <f>TEXT(Table1[[#This Row],[Date]],"yyyy")</f>
        <v>2024</v>
      </c>
      <c r="G98" t="s">
        <v>309</v>
      </c>
      <c r="H98" t="s">
        <v>314</v>
      </c>
      <c r="I98" t="s">
        <v>318</v>
      </c>
      <c r="J98">
        <v>3367.67</v>
      </c>
      <c r="K98">
        <v>6</v>
      </c>
      <c r="L98">
        <v>443.24</v>
      </c>
    </row>
    <row r="99" spans="3:12" x14ac:dyDescent="0.35">
      <c r="C99" t="s">
        <v>101</v>
      </c>
      <c r="D99" s="1">
        <v>45325</v>
      </c>
      <c r="E99" s="1" t="str">
        <f>TEXT(Table1[[#This Row],[Date]],"MMM")</f>
        <v>Feb</v>
      </c>
      <c r="F99" s="1" t="str">
        <f>TEXT(Table1[[#This Row],[Date]],"yyyy")</f>
        <v>2024</v>
      </c>
      <c r="G99" t="s">
        <v>310</v>
      </c>
      <c r="H99" t="s">
        <v>315</v>
      </c>
      <c r="I99" t="s">
        <v>318</v>
      </c>
      <c r="J99">
        <v>8396.4500000000007</v>
      </c>
      <c r="K99">
        <v>10</v>
      </c>
      <c r="L99">
        <v>757.93</v>
      </c>
    </row>
    <row r="100" spans="3:12" x14ac:dyDescent="0.35">
      <c r="C100" t="s">
        <v>102</v>
      </c>
      <c r="D100" s="1">
        <v>45415</v>
      </c>
      <c r="E100" s="1" t="str">
        <f>TEXT(Table1[[#This Row],[Date]],"MMM")</f>
        <v>May</v>
      </c>
      <c r="F100" s="1" t="str">
        <f>TEXT(Table1[[#This Row],[Date]],"yyyy")</f>
        <v>2024</v>
      </c>
      <c r="G100" t="s">
        <v>313</v>
      </c>
      <c r="H100" t="s">
        <v>315</v>
      </c>
      <c r="I100" t="s">
        <v>318</v>
      </c>
      <c r="J100">
        <v>921.1</v>
      </c>
      <c r="K100">
        <v>1</v>
      </c>
      <c r="L100">
        <v>755.34</v>
      </c>
    </row>
    <row r="101" spans="3:12" x14ac:dyDescent="0.35">
      <c r="C101" t="s">
        <v>103</v>
      </c>
      <c r="D101" s="1">
        <v>45478</v>
      </c>
      <c r="E101" s="1" t="str">
        <f>TEXT(Table1[[#This Row],[Date]],"MMM")</f>
        <v>Jul</v>
      </c>
      <c r="F101" s="1" t="str">
        <f>TEXT(Table1[[#This Row],[Date]],"yyyy")</f>
        <v>2024</v>
      </c>
      <c r="G101" t="s">
        <v>311</v>
      </c>
      <c r="H101" t="s">
        <v>314</v>
      </c>
      <c r="I101" t="s">
        <v>318</v>
      </c>
      <c r="J101">
        <v>8455.77</v>
      </c>
      <c r="K101">
        <v>9</v>
      </c>
      <c r="L101">
        <v>643.9</v>
      </c>
    </row>
    <row r="102" spans="3:12" x14ac:dyDescent="0.35">
      <c r="C102" t="s">
        <v>104</v>
      </c>
      <c r="D102" s="1">
        <v>45206</v>
      </c>
      <c r="E102" s="1" t="str">
        <f>TEXT(Table1[[#This Row],[Date]],"MMM")</f>
        <v>Oct</v>
      </c>
      <c r="F102" s="1" t="str">
        <f>TEXT(Table1[[#This Row],[Date]],"yyyy")</f>
        <v>2023</v>
      </c>
      <c r="G102" t="s">
        <v>311</v>
      </c>
      <c r="H102" t="s">
        <v>314</v>
      </c>
      <c r="I102" t="s">
        <v>317</v>
      </c>
      <c r="J102">
        <v>3504.97</v>
      </c>
      <c r="K102">
        <v>7</v>
      </c>
      <c r="L102">
        <v>398.8</v>
      </c>
    </row>
    <row r="103" spans="3:12" x14ac:dyDescent="0.35">
      <c r="C103" t="s">
        <v>105</v>
      </c>
      <c r="D103" s="1">
        <v>45096</v>
      </c>
      <c r="E103" s="1" t="str">
        <f>TEXT(Table1[[#This Row],[Date]],"MMM")</f>
        <v>Jun</v>
      </c>
      <c r="F103" s="1" t="str">
        <f>TEXT(Table1[[#This Row],[Date]],"yyyy")</f>
        <v>2023</v>
      </c>
      <c r="G103" t="s">
        <v>308</v>
      </c>
      <c r="H103" t="s">
        <v>314</v>
      </c>
      <c r="I103" t="s">
        <v>318</v>
      </c>
      <c r="J103">
        <v>8801.4</v>
      </c>
      <c r="K103">
        <v>8</v>
      </c>
      <c r="L103">
        <v>737.24</v>
      </c>
    </row>
    <row r="104" spans="3:12" x14ac:dyDescent="0.35">
      <c r="C104" t="s">
        <v>106</v>
      </c>
      <c r="D104" s="1">
        <v>45330</v>
      </c>
      <c r="E104" s="1" t="str">
        <f>TEXT(Table1[[#This Row],[Date]],"MMM")</f>
        <v>Feb</v>
      </c>
      <c r="F104" s="1" t="str">
        <f>TEXT(Table1[[#This Row],[Date]],"yyyy")</f>
        <v>2024</v>
      </c>
      <c r="G104" t="s">
        <v>313</v>
      </c>
      <c r="H104" t="s">
        <v>315</v>
      </c>
      <c r="I104" t="s">
        <v>316</v>
      </c>
      <c r="J104">
        <v>5112.42</v>
      </c>
      <c r="K104">
        <v>10</v>
      </c>
      <c r="L104">
        <v>460.23</v>
      </c>
    </row>
    <row r="105" spans="3:12" x14ac:dyDescent="0.35">
      <c r="C105" t="s">
        <v>107</v>
      </c>
      <c r="D105" s="1">
        <v>45065</v>
      </c>
      <c r="E105" s="1" t="str">
        <f>TEXT(Table1[[#This Row],[Date]],"MMM")</f>
        <v>May</v>
      </c>
      <c r="F105" s="1" t="str">
        <f>TEXT(Table1[[#This Row],[Date]],"yyyy")</f>
        <v>2023</v>
      </c>
      <c r="G105" t="s">
        <v>308</v>
      </c>
      <c r="H105" t="s">
        <v>314</v>
      </c>
      <c r="I105" t="s">
        <v>318</v>
      </c>
      <c r="J105">
        <v>1558.06</v>
      </c>
      <c r="K105">
        <v>8</v>
      </c>
      <c r="L105">
        <v>161.75</v>
      </c>
    </row>
    <row r="106" spans="3:12" x14ac:dyDescent="0.35">
      <c r="C106" t="s">
        <v>108</v>
      </c>
      <c r="D106" s="1">
        <v>45392</v>
      </c>
      <c r="E106" s="1" t="str">
        <f>TEXT(Table1[[#This Row],[Date]],"MMM")</f>
        <v>Apr</v>
      </c>
      <c r="F106" s="1" t="str">
        <f>TEXT(Table1[[#This Row],[Date]],"yyyy")</f>
        <v>2024</v>
      </c>
      <c r="G106" t="s">
        <v>312</v>
      </c>
      <c r="H106" t="s">
        <v>315</v>
      </c>
      <c r="I106" t="s">
        <v>317</v>
      </c>
      <c r="J106">
        <v>2467.4299999999998</v>
      </c>
      <c r="K106">
        <v>6</v>
      </c>
      <c r="L106">
        <v>283.25</v>
      </c>
    </row>
    <row r="107" spans="3:12" x14ac:dyDescent="0.35">
      <c r="C107" t="s">
        <v>109</v>
      </c>
      <c r="D107" s="1">
        <v>45185</v>
      </c>
      <c r="E107" s="1" t="str">
        <f>TEXT(Table1[[#This Row],[Date]],"MMM")</f>
        <v>Sept</v>
      </c>
      <c r="F107" s="1" t="str">
        <f>TEXT(Table1[[#This Row],[Date]],"yyyy")</f>
        <v>2023</v>
      </c>
      <c r="G107" t="s">
        <v>312</v>
      </c>
      <c r="H107" t="s">
        <v>315</v>
      </c>
      <c r="I107" t="s">
        <v>318</v>
      </c>
      <c r="J107">
        <v>1082.8499999999999</v>
      </c>
      <c r="K107">
        <v>2</v>
      </c>
      <c r="L107">
        <v>386.84</v>
      </c>
    </row>
    <row r="108" spans="3:12" x14ac:dyDescent="0.35">
      <c r="C108" t="s">
        <v>110</v>
      </c>
      <c r="D108" s="1">
        <v>45156</v>
      </c>
      <c r="E108" s="1" t="str">
        <f>TEXT(Table1[[#This Row],[Date]],"MMM")</f>
        <v>Aug</v>
      </c>
      <c r="F108" s="1" t="str">
        <f>TEXT(Table1[[#This Row],[Date]],"yyyy")</f>
        <v>2023</v>
      </c>
      <c r="G108" t="s">
        <v>309</v>
      </c>
      <c r="H108" t="s">
        <v>314</v>
      </c>
      <c r="I108" t="s">
        <v>319</v>
      </c>
      <c r="J108">
        <v>1712.74</v>
      </c>
      <c r="K108">
        <v>2</v>
      </c>
      <c r="L108">
        <v>629.36</v>
      </c>
    </row>
    <row r="109" spans="3:12" x14ac:dyDescent="0.35">
      <c r="C109" t="s">
        <v>111</v>
      </c>
      <c r="D109" s="1">
        <v>45131</v>
      </c>
      <c r="E109" s="1" t="str">
        <f>TEXT(Table1[[#This Row],[Date]],"MMM")</f>
        <v>Jul</v>
      </c>
      <c r="F109" s="1" t="str">
        <f>TEXT(Table1[[#This Row],[Date]],"yyyy")</f>
        <v>2023</v>
      </c>
      <c r="G109" t="s">
        <v>309</v>
      </c>
      <c r="H109" t="s">
        <v>314</v>
      </c>
      <c r="I109" t="s">
        <v>317</v>
      </c>
      <c r="J109">
        <v>603.26</v>
      </c>
      <c r="K109">
        <v>1</v>
      </c>
      <c r="L109">
        <v>504.64</v>
      </c>
    </row>
    <row r="110" spans="3:12" x14ac:dyDescent="0.35">
      <c r="C110" t="s">
        <v>112</v>
      </c>
      <c r="D110" s="1">
        <v>45504</v>
      </c>
      <c r="E110" s="1" t="str">
        <f>TEXT(Table1[[#This Row],[Date]],"MMM")</f>
        <v>Jul</v>
      </c>
      <c r="F110" s="1" t="str">
        <f>TEXT(Table1[[#This Row],[Date]],"yyyy")</f>
        <v>2024</v>
      </c>
      <c r="G110" t="s">
        <v>311</v>
      </c>
      <c r="H110" t="s">
        <v>314</v>
      </c>
      <c r="I110" t="s">
        <v>316</v>
      </c>
      <c r="J110">
        <v>1840.93</v>
      </c>
      <c r="K110">
        <v>4</v>
      </c>
      <c r="L110">
        <v>382.73</v>
      </c>
    </row>
    <row r="111" spans="3:12" x14ac:dyDescent="0.35">
      <c r="C111" t="s">
        <v>113</v>
      </c>
      <c r="D111" s="1">
        <v>45547</v>
      </c>
      <c r="E111" s="1" t="str">
        <f>TEXT(Table1[[#This Row],[Date]],"MMM")</f>
        <v>Sept</v>
      </c>
      <c r="F111" s="1" t="str">
        <f>TEXT(Table1[[#This Row],[Date]],"yyyy")</f>
        <v>2024</v>
      </c>
      <c r="G111" t="s">
        <v>312</v>
      </c>
      <c r="H111" t="s">
        <v>315</v>
      </c>
      <c r="I111" t="s">
        <v>317</v>
      </c>
      <c r="J111">
        <v>10706.26</v>
      </c>
      <c r="K111">
        <v>10</v>
      </c>
      <c r="L111">
        <v>771.71</v>
      </c>
    </row>
    <row r="112" spans="3:12" x14ac:dyDescent="0.35">
      <c r="C112" t="s">
        <v>114</v>
      </c>
      <c r="D112" s="1">
        <v>45037</v>
      </c>
      <c r="E112" s="1" t="str">
        <f>TEXT(Table1[[#This Row],[Date]],"MMM")</f>
        <v>Apr</v>
      </c>
      <c r="F112" s="1" t="str">
        <f>TEXT(Table1[[#This Row],[Date]],"yyyy")</f>
        <v>2023</v>
      </c>
      <c r="G112" t="s">
        <v>310</v>
      </c>
      <c r="H112" t="s">
        <v>315</v>
      </c>
      <c r="I112" t="s">
        <v>319</v>
      </c>
      <c r="J112">
        <v>490.28</v>
      </c>
      <c r="K112">
        <v>10</v>
      </c>
      <c r="L112">
        <v>40.03</v>
      </c>
    </row>
    <row r="113" spans="3:12" x14ac:dyDescent="0.35">
      <c r="C113" t="s">
        <v>115</v>
      </c>
      <c r="D113" s="1">
        <v>45333</v>
      </c>
      <c r="E113" s="1" t="str">
        <f>TEXT(Table1[[#This Row],[Date]],"MMM")</f>
        <v>Feb</v>
      </c>
      <c r="F113" s="1" t="str">
        <f>TEXT(Table1[[#This Row],[Date]],"yyyy")</f>
        <v>2024</v>
      </c>
      <c r="G113" t="s">
        <v>308</v>
      </c>
      <c r="H113" t="s">
        <v>314</v>
      </c>
      <c r="I113" t="s">
        <v>318</v>
      </c>
      <c r="J113">
        <v>436.44</v>
      </c>
      <c r="K113">
        <v>4</v>
      </c>
      <c r="L113">
        <v>79.28</v>
      </c>
    </row>
    <row r="114" spans="3:12" x14ac:dyDescent="0.35">
      <c r="C114" t="s">
        <v>116</v>
      </c>
      <c r="D114" s="1">
        <v>45031</v>
      </c>
      <c r="E114" s="1" t="str">
        <f>TEXT(Table1[[#This Row],[Date]],"MMM")</f>
        <v>Apr</v>
      </c>
      <c r="F114" s="1" t="str">
        <f>TEXT(Table1[[#This Row],[Date]],"yyyy")</f>
        <v>2023</v>
      </c>
      <c r="G114" t="s">
        <v>308</v>
      </c>
      <c r="H114" t="s">
        <v>314</v>
      </c>
      <c r="I114" t="s">
        <v>317</v>
      </c>
      <c r="J114">
        <v>4578.2</v>
      </c>
      <c r="K114">
        <v>5</v>
      </c>
      <c r="L114">
        <v>683.23</v>
      </c>
    </row>
    <row r="115" spans="3:12" x14ac:dyDescent="0.35">
      <c r="C115" t="s">
        <v>117</v>
      </c>
      <c r="D115" s="1">
        <v>45282</v>
      </c>
      <c r="E115" s="1" t="str">
        <f>TEXT(Table1[[#This Row],[Date]],"MMM")</f>
        <v>Dec</v>
      </c>
      <c r="F115" s="1" t="str">
        <f>TEXT(Table1[[#This Row],[Date]],"yyyy")</f>
        <v>2023</v>
      </c>
      <c r="G115" t="s">
        <v>309</v>
      </c>
      <c r="H115" t="s">
        <v>314</v>
      </c>
      <c r="I115" t="s">
        <v>316</v>
      </c>
      <c r="J115">
        <v>3978.32</v>
      </c>
      <c r="K115">
        <v>9</v>
      </c>
      <c r="L115">
        <v>354.13</v>
      </c>
    </row>
    <row r="116" spans="3:12" x14ac:dyDescent="0.35">
      <c r="C116" t="s">
        <v>118</v>
      </c>
      <c r="D116" s="1">
        <v>44939</v>
      </c>
      <c r="E116" s="1" t="str">
        <f>TEXT(Table1[[#This Row],[Date]],"MMM")</f>
        <v>Jan</v>
      </c>
      <c r="F116" s="1" t="str">
        <f>TEXT(Table1[[#This Row],[Date]],"yyyy")</f>
        <v>2023</v>
      </c>
      <c r="G116" t="s">
        <v>313</v>
      </c>
      <c r="H116" t="s">
        <v>315</v>
      </c>
      <c r="I116" t="s">
        <v>319</v>
      </c>
      <c r="J116">
        <v>5288.39</v>
      </c>
      <c r="K116">
        <v>7</v>
      </c>
      <c r="L116">
        <v>661.42</v>
      </c>
    </row>
    <row r="117" spans="3:12" x14ac:dyDescent="0.35">
      <c r="C117" t="s">
        <v>119</v>
      </c>
      <c r="D117" s="1">
        <v>45651</v>
      </c>
      <c r="E117" s="1" t="str">
        <f>TEXT(Table1[[#This Row],[Date]],"MMM")</f>
        <v>Dec</v>
      </c>
      <c r="F117" s="1" t="str">
        <f>TEXT(Table1[[#This Row],[Date]],"yyyy")</f>
        <v>2024</v>
      </c>
      <c r="G117" t="s">
        <v>312</v>
      </c>
      <c r="H117" t="s">
        <v>315</v>
      </c>
      <c r="I117" t="s">
        <v>318</v>
      </c>
      <c r="J117">
        <v>1503.66</v>
      </c>
      <c r="K117">
        <v>3</v>
      </c>
      <c r="L117">
        <v>359.68</v>
      </c>
    </row>
    <row r="118" spans="3:12" x14ac:dyDescent="0.35">
      <c r="C118" t="s">
        <v>120</v>
      </c>
      <c r="D118" s="1">
        <v>45557</v>
      </c>
      <c r="E118" s="1" t="str">
        <f>TEXT(Table1[[#This Row],[Date]],"MMM")</f>
        <v>Sept</v>
      </c>
      <c r="F118" s="1" t="str">
        <f>TEXT(Table1[[#This Row],[Date]],"yyyy")</f>
        <v>2024</v>
      </c>
      <c r="G118" t="s">
        <v>308</v>
      </c>
      <c r="H118" t="s">
        <v>314</v>
      </c>
      <c r="I118" t="s">
        <v>319</v>
      </c>
      <c r="J118">
        <v>7224.44</v>
      </c>
      <c r="K118">
        <v>9</v>
      </c>
      <c r="L118">
        <v>624.22</v>
      </c>
    </row>
    <row r="119" spans="3:12" x14ac:dyDescent="0.35">
      <c r="C119" t="s">
        <v>121</v>
      </c>
      <c r="D119" s="1">
        <v>45257</v>
      </c>
      <c r="E119" s="1" t="str">
        <f>TEXT(Table1[[#This Row],[Date]],"MMM")</f>
        <v>Nov</v>
      </c>
      <c r="F119" s="1" t="str">
        <f>TEXT(Table1[[#This Row],[Date]],"yyyy")</f>
        <v>2023</v>
      </c>
      <c r="G119" t="s">
        <v>308</v>
      </c>
      <c r="H119" t="s">
        <v>314</v>
      </c>
      <c r="I119" t="s">
        <v>319</v>
      </c>
      <c r="J119">
        <v>3031.69</v>
      </c>
      <c r="K119">
        <v>4</v>
      </c>
      <c r="L119">
        <v>667.97</v>
      </c>
    </row>
    <row r="120" spans="3:12" x14ac:dyDescent="0.35">
      <c r="C120" t="s">
        <v>122</v>
      </c>
      <c r="D120" s="1">
        <v>45402</v>
      </c>
      <c r="E120" s="1" t="str">
        <f>TEXT(Table1[[#This Row],[Date]],"MMM")</f>
        <v>Apr</v>
      </c>
      <c r="F120" s="1" t="str">
        <f>TEXT(Table1[[#This Row],[Date]],"yyyy")</f>
        <v>2024</v>
      </c>
      <c r="G120" t="s">
        <v>311</v>
      </c>
      <c r="H120" t="s">
        <v>314</v>
      </c>
      <c r="I120" t="s">
        <v>317</v>
      </c>
      <c r="J120">
        <v>6208.67</v>
      </c>
      <c r="K120">
        <v>10</v>
      </c>
      <c r="L120">
        <v>496.06</v>
      </c>
    </row>
    <row r="121" spans="3:12" x14ac:dyDescent="0.35">
      <c r="C121" t="s">
        <v>123</v>
      </c>
      <c r="D121" s="1">
        <v>45259</v>
      </c>
      <c r="E121" s="1" t="str">
        <f>TEXT(Table1[[#This Row],[Date]],"MMM")</f>
        <v>Nov</v>
      </c>
      <c r="F121" s="1" t="str">
        <f>TEXT(Table1[[#This Row],[Date]],"yyyy")</f>
        <v>2023</v>
      </c>
      <c r="G121" t="s">
        <v>309</v>
      </c>
      <c r="H121" t="s">
        <v>314</v>
      </c>
      <c r="I121" t="s">
        <v>318</v>
      </c>
      <c r="J121">
        <v>1491.4</v>
      </c>
      <c r="K121">
        <v>3</v>
      </c>
      <c r="L121">
        <v>400.29</v>
      </c>
    </row>
    <row r="122" spans="3:12" x14ac:dyDescent="0.35">
      <c r="C122" t="s">
        <v>124</v>
      </c>
      <c r="D122" s="1">
        <v>45213</v>
      </c>
      <c r="E122" s="1" t="str">
        <f>TEXT(Table1[[#This Row],[Date]],"MMM")</f>
        <v>Oct</v>
      </c>
      <c r="F122" s="1" t="str">
        <f>TEXT(Table1[[#This Row],[Date]],"yyyy")</f>
        <v>2023</v>
      </c>
      <c r="G122" t="s">
        <v>312</v>
      </c>
      <c r="H122" t="s">
        <v>315</v>
      </c>
      <c r="I122" t="s">
        <v>319</v>
      </c>
      <c r="J122">
        <v>6862.61</v>
      </c>
      <c r="K122">
        <v>10</v>
      </c>
      <c r="L122">
        <v>566.91999999999996</v>
      </c>
    </row>
    <row r="123" spans="3:12" x14ac:dyDescent="0.35">
      <c r="C123" t="s">
        <v>125</v>
      </c>
      <c r="D123" s="1">
        <v>45014</v>
      </c>
      <c r="E123" s="1" t="str">
        <f>TEXT(Table1[[#This Row],[Date]],"MMM")</f>
        <v>Mar</v>
      </c>
      <c r="F123" s="1" t="str">
        <f>TEXT(Table1[[#This Row],[Date]],"yyyy")</f>
        <v>2023</v>
      </c>
      <c r="G123" t="s">
        <v>309</v>
      </c>
      <c r="H123" t="s">
        <v>314</v>
      </c>
      <c r="I123" t="s">
        <v>317</v>
      </c>
      <c r="J123">
        <v>3014</v>
      </c>
      <c r="K123">
        <v>4</v>
      </c>
      <c r="L123">
        <v>581.66</v>
      </c>
    </row>
    <row r="124" spans="3:12" x14ac:dyDescent="0.35">
      <c r="C124" t="s">
        <v>126</v>
      </c>
      <c r="D124" s="1">
        <v>45588</v>
      </c>
      <c r="E124" s="1" t="str">
        <f>TEXT(Table1[[#This Row],[Date]],"MMM")</f>
        <v>Oct</v>
      </c>
      <c r="F124" s="1" t="str">
        <f>TEXT(Table1[[#This Row],[Date]],"yyyy")</f>
        <v>2024</v>
      </c>
      <c r="G124" t="s">
        <v>310</v>
      </c>
      <c r="H124" t="s">
        <v>315</v>
      </c>
      <c r="I124" t="s">
        <v>318</v>
      </c>
      <c r="J124">
        <v>3272.7</v>
      </c>
      <c r="K124">
        <v>8</v>
      </c>
      <c r="L124">
        <v>369.58</v>
      </c>
    </row>
    <row r="125" spans="3:12" x14ac:dyDescent="0.35">
      <c r="C125" t="s">
        <v>127</v>
      </c>
      <c r="D125" s="1">
        <v>45341</v>
      </c>
      <c r="E125" s="1" t="str">
        <f>TEXT(Table1[[#This Row],[Date]],"MMM")</f>
        <v>Feb</v>
      </c>
      <c r="F125" s="1" t="str">
        <f>TEXT(Table1[[#This Row],[Date]],"yyyy")</f>
        <v>2024</v>
      </c>
      <c r="G125" t="s">
        <v>312</v>
      </c>
      <c r="H125" t="s">
        <v>315</v>
      </c>
      <c r="I125" t="s">
        <v>317</v>
      </c>
      <c r="J125">
        <v>1379.74</v>
      </c>
      <c r="K125">
        <v>4</v>
      </c>
      <c r="L125">
        <v>258.83999999999997</v>
      </c>
    </row>
    <row r="126" spans="3:12" x14ac:dyDescent="0.35">
      <c r="C126" t="s">
        <v>128</v>
      </c>
      <c r="D126" s="1">
        <v>45362</v>
      </c>
      <c r="E126" s="1" t="str">
        <f>TEXT(Table1[[#This Row],[Date]],"MMM")</f>
        <v>Mar</v>
      </c>
      <c r="F126" s="1" t="str">
        <f>TEXT(Table1[[#This Row],[Date]],"yyyy")</f>
        <v>2024</v>
      </c>
      <c r="G126" t="s">
        <v>311</v>
      </c>
      <c r="H126" t="s">
        <v>314</v>
      </c>
      <c r="I126" t="s">
        <v>319</v>
      </c>
      <c r="J126">
        <v>3455.87</v>
      </c>
      <c r="K126">
        <v>9</v>
      </c>
      <c r="L126">
        <v>278.02</v>
      </c>
    </row>
    <row r="127" spans="3:12" x14ac:dyDescent="0.35">
      <c r="C127" t="s">
        <v>129</v>
      </c>
      <c r="D127" s="1">
        <v>45184</v>
      </c>
      <c r="E127" s="1" t="str">
        <f>TEXT(Table1[[#This Row],[Date]],"MMM")</f>
        <v>Sept</v>
      </c>
      <c r="F127" s="1" t="str">
        <f>TEXT(Table1[[#This Row],[Date]],"yyyy")</f>
        <v>2023</v>
      </c>
      <c r="G127" t="s">
        <v>312</v>
      </c>
      <c r="H127" t="s">
        <v>315</v>
      </c>
      <c r="I127" t="s">
        <v>319</v>
      </c>
      <c r="J127">
        <v>537.25</v>
      </c>
      <c r="K127">
        <v>4</v>
      </c>
      <c r="L127">
        <v>114.11</v>
      </c>
    </row>
    <row r="128" spans="3:12" x14ac:dyDescent="0.35">
      <c r="C128" t="s">
        <v>130</v>
      </c>
      <c r="D128" s="1">
        <v>45123</v>
      </c>
      <c r="E128" s="1" t="str">
        <f>TEXT(Table1[[#This Row],[Date]],"MMM")</f>
        <v>Jul</v>
      </c>
      <c r="F128" s="1" t="str">
        <f>TEXT(Table1[[#This Row],[Date]],"yyyy")</f>
        <v>2023</v>
      </c>
      <c r="G128" t="s">
        <v>309</v>
      </c>
      <c r="H128" t="s">
        <v>314</v>
      </c>
      <c r="I128" t="s">
        <v>317</v>
      </c>
      <c r="J128">
        <v>2886.6</v>
      </c>
      <c r="K128">
        <v>4</v>
      </c>
      <c r="L128">
        <v>596.11</v>
      </c>
    </row>
    <row r="129" spans="3:12" x14ac:dyDescent="0.35">
      <c r="C129" t="s">
        <v>131</v>
      </c>
      <c r="D129" s="1">
        <v>45029</v>
      </c>
      <c r="E129" s="1" t="str">
        <f>TEXT(Table1[[#This Row],[Date]],"MMM")</f>
        <v>Apr</v>
      </c>
      <c r="F129" s="1" t="str">
        <f>TEXT(Table1[[#This Row],[Date]],"yyyy")</f>
        <v>2023</v>
      </c>
      <c r="G129" t="s">
        <v>313</v>
      </c>
      <c r="H129" t="s">
        <v>315</v>
      </c>
      <c r="I129" t="s">
        <v>319</v>
      </c>
      <c r="J129">
        <v>1249.68</v>
      </c>
      <c r="K129">
        <v>4</v>
      </c>
      <c r="L129">
        <v>251.07</v>
      </c>
    </row>
    <row r="130" spans="3:12" x14ac:dyDescent="0.35">
      <c r="C130" t="s">
        <v>132</v>
      </c>
      <c r="D130" s="1">
        <v>45652</v>
      </c>
      <c r="E130" s="1" t="str">
        <f>TEXT(Table1[[#This Row],[Date]],"MMM")</f>
        <v>Dec</v>
      </c>
      <c r="F130" s="1" t="str">
        <f>TEXT(Table1[[#This Row],[Date]],"yyyy")</f>
        <v>2024</v>
      </c>
      <c r="G130" t="s">
        <v>312</v>
      </c>
      <c r="H130" t="s">
        <v>315</v>
      </c>
      <c r="I130" t="s">
        <v>316</v>
      </c>
      <c r="J130">
        <v>1194.8800000000001</v>
      </c>
      <c r="K130">
        <v>9</v>
      </c>
      <c r="L130">
        <v>118.73</v>
      </c>
    </row>
    <row r="131" spans="3:12" x14ac:dyDescent="0.35">
      <c r="C131" t="s">
        <v>133</v>
      </c>
      <c r="D131" s="1">
        <v>45641</v>
      </c>
      <c r="E131" s="1" t="str">
        <f>TEXT(Table1[[#This Row],[Date]],"MMM")</f>
        <v>Dec</v>
      </c>
      <c r="F131" s="1" t="str">
        <f>TEXT(Table1[[#This Row],[Date]],"yyyy")</f>
        <v>2024</v>
      </c>
      <c r="G131" t="s">
        <v>309</v>
      </c>
      <c r="H131" t="s">
        <v>314</v>
      </c>
      <c r="I131" t="s">
        <v>319</v>
      </c>
      <c r="J131">
        <v>2175.4</v>
      </c>
      <c r="K131">
        <v>3</v>
      </c>
      <c r="L131">
        <v>517.54</v>
      </c>
    </row>
    <row r="132" spans="3:12" x14ac:dyDescent="0.35">
      <c r="C132" t="s">
        <v>134</v>
      </c>
      <c r="D132" s="1">
        <v>45514</v>
      </c>
      <c r="E132" s="1" t="str">
        <f>TEXT(Table1[[#This Row],[Date]],"MMM")</f>
        <v>Aug</v>
      </c>
      <c r="F132" s="1" t="str">
        <f>TEXT(Table1[[#This Row],[Date]],"yyyy")</f>
        <v>2024</v>
      </c>
      <c r="G132" t="s">
        <v>309</v>
      </c>
      <c r="H132" t="s">
        <v>314</v>
      </c>
      <c r="I132" t="s">
        <v>316</v>
      </c>
      <c r="J132">
        <v>2463.87</v>
      </c>
      <c r="K132">
        <v>5</v>
      </c>
      <c r="L132">
        <v>386.13</v>
      </c>
    </row>
    <row r="133" spans="3:12" x14ac:dyDescent="0.35">
      <c r="C133" t="s">
        <v>135</v>
      </c>
      <c r="D133" s="1">
        <v>45185</v>
      </c>
      <c r="E133" s="1" t="str">
        <f>TEXT(Table1[[#This Row],[Date]],"MMM")</f>
        <v>Sept</v>
      </c>
      <c r="F133" s="1" t="str">
        <f>TEXT(Table1[[#This Row],[Date]],"yyyy")</f>
        <v>2023</v>
      </c>
      <c r="G133" t="s">
        <v>310</v>
      </c>
      <c r="H133" t="s">
        <v>315</v>
      </c>
      <c r="I133" t="s">
        <v>316</v>
      </c>
      <c r="J133">
        <v>981.9</v>
      </c>
      <c r="K133">
        <v>8</v>
      </c>
      <c r="L133">
        <v>108.99</v>
      </c>
    </row>
    <row r="134" spans="3:12" x14ac:dyDescent="0.35">
      <c r="C134" t="s">
        <v>136</v>
      </c>
      <c r="D134" s="1">
        <v>45517</v>
      </c>
      <c r="E134" s="1" t="str">
        <f>TEXT(Table1[[#This Row],[Date]],"MMM")</f>
        <v>Aug</v>
      </c>
      <c r="F134" s="1" t="str">
        <f>TEXT(Table1[[#This Row],[Date]],"yyyy")</f>
        <v>2024</v>
      </c>
      <c r="G134" t="s">
        <v>311</v>
      </c>
      <c r="H134" t="s">
        <v>314</v>
      </c>
      <c r="I134" t="s">
        <v>316</v>
      </c>
      <c r="J134">
        <v>197.07</v>
      </c>
      <c r="K134">
        <v>1</v>
      </c>
      <c r="L134">
        <v>138.35</v>
      </c>
    </row>
    <row r="135" spans="3:12" x14ac:dyDescent="0.35">
      <c r="C135" t="s">
        <v>137</v>
      </c>
      <c r="D135" s="1">
        <v>45181</v>
      </c>
      <c r="E135" s="1" t="str">
        <f>TEXT(Table1[[#This Row],[Date]],"MMM")</f>
        <v>Sept</v>
      </c>
      <c r="F135" s="1" t="str">
        <f>TEXT(Table1[[#This Row],[Date]],"yyyy")</f>
        <v>2023</v>
      </c>
      <c r="G135" t="s">
        <v>312</v>
      </c>
      <c r="H135" t="s">
        <v>315</v>
      </c>
      <c r="I135" t="s">
        <v>316</v>
      </c>
      <c r="J135">
        <v>1153.25</v>
      </c>
      <c r="K135">
        <v>2</v>
      </c>
      <c r="L135">
        <v>455.3</v>
      </c>
    </row>
    <row r="136" spans="3:12" x14ac:dyDescent="0.35">
      <c r="C136" t="s">
        <v>138</v>
      </c>
      <c r="D136" s="1">
        <v>45462</v>
      </c>
      <c r="E136" s="1" t="str">
        <f>TEXT(Table1[[#This Row],[Date]],"MMM")</f>
        <v>Jun</v>
      </c>
      <c r="F136" s="1" t="str">
        <f>TEXT(Table1[[#This Row],[Date]],"yyyy")</f>
        <v>2024</v>
      </c>
      <c r="G136" t="s">
        <v>313</v>
      </c>
      <c r="H136" t="s">
        <v>315</v>
      </c>
      <c r="I136" t="s">
        <v>317</v>
      </c>
      <c r="J136">
        <v>3320.17</v>
      </c>
      <c r="K136">
        <v>7</v>
      </c>
      <c r="L136">
        <v>371.4</v>
      </c>
    </row>
    <row r="137" spans="3:12" x14ac:dyDescent="0.35">
      <c r="C137" t="s">
        <v>139</v>
      </c>
      <c r="D137" s="1">
        <v>45239</v>
      </c>
      <c r="E137" s="1" t="str">
        <f>TEXT(Table1[[#This Row],[Date]],"MMM")</f>
        <v>Nov</v>
      </c>
      <c r="F137" s="1" t="str">
        <f>TEXT(Table1[[#This Row],[Date]],"yyyy")</f>
        <v>2023</v>
      </c>
      <c r="G137" t="s">
        <v>313</v>
      </c>
      <c r="H137" t="s">
        <v>315</v>
      </c>
      <c r="I137" t="s">
        <v>318</v>
      </c>
      <c r="J137">
        <v>6778.39</v>
      </c>
      <c r="K137">
        <v>10</v>
      </c>
      <c r="L137">
        <v>504.4</v>
      </c>
    </row>
    <row r="138" spans="3:12" x14ac:dyDescent="0.35">
      <c r="C138" t="s">
        <v>140</v>
      </c>
      <c r="D138" s="1">
        <v>45139</v>
      </c>
      <c r="E138" s="1" t="str">
        <f>TEXT(Table1[[#This Row],[Date]],"MMM")</f>
        <v>Aug</v>
      </c>
      <c r="F138" s="1" t="str">
        <f>TEXT(Table1[[#This Row],[Date]],"yyyy")</f>
        <v>2023</v>
      </c>
      <c r="G138" t="s">
        <v>308</v>
      </c>
      <c r="H138" t="s">
        <v>314</v>
      </c>
      <c r="I138" t="s">
        <v>316</v>
      </c>
      <c r="J138">
        <v>1025.6600000000001</v>
      </c>
      <c r="K138">
        <v>4</v>
      </c>
      <c r="L138">
        <v>226.42</v>
      </c>
    </row>
    <row r="139" spans="3:12" x14ac:dyDescent="0.35">
      <c r="C139" t="s">
        <v>141</v>
      </c>
      <c r="D139" s="1">
        <v>45492</v>
      </c>
      <c r="E139" s="1" t="str">
        <f>TEXT(Table1[[#This Row],[Date]],"MMM")</f>
        <v>Jul</v>
      </c>
      <c r="F139" s="1" t="str">
        <f>TEXT(Table1[[#This Row],[Date]],"yyyy")</f>
        <v>2024</v>
      </c>
      <c r="G139" t="s">
        <v>310</v>
      </c>
      <c r="H139" t="s">
        <v>315</v>
      </c>
      <c r="I139" t="s">
        <v>317</v>
      </c>
      <c r="J139">
        <v>359.06</v>
      </c>
      <c r="K139">
        <v>2</v>
      </c>
      <c r="L139">
        <v>142.1</v>
      </c>
    </row>
    <row r="140" spans="3:12" x14ac:dyDescent="0.35">
      <c r="C140" t="s">
        <v>142</v>
      </c>
      <c r="D140" s="1">
        <v>45225</v>
      </c>
      <c r="E140" s="1" t="str">
        <f>TEXT(Table1[[#This Row],[Date]],"MMM")</f>
        <v>Oct</v>
      </c>
      <c r="F140" s="1" t="str">
        <f>TEXT(Table1[[#This Row],[Date]],"yyyy")</f>
        <v>2023</v>
      </c>
      <c r="G140" t="s">
        <v>308</v>
      </c>
      <c r="H140" t="s">
        <v>314</v>
      </c>
      <c r="I140" t="s">
        <v>318</v>
      </c>
      <c r="J140">
        <v>277.32</v>
      </c>
      <c r="K140">
        <v>1</v>
      </c>
      <c r="L140">
        <v>200.55</v>
      </c>
    </row>
    <row r="141" spans="3:12" x14ac:dyDescent="0.35">
      <c r="C141" t="s">
        <v>143</v>
      </c>
      <c r="D141" s="1">
        <v>44999</v>
      </c>
      <c r="E141" s="1" t="str">
        <f>TEXT(Table1[[#This Row],[Date]],"MMM")</f>
        <v>Mar</v>
      </c>
      <c r="F141" s="1" t="str">
        <f>TEXT(Table1[[#This Row],[Date]],"yyyy")</f>
        <v>2023</v>
      </c>
      <c r="G141" t="s">
        <v>308</v>
      </c>
      <c r="H141" t="s">
        <v>314</v>
      </c>
      <c r="I141" t="s">
        <v>318</v>
      </c>
      <c r="J141">
        <v>4192.47</v>
      </c>
      <c r="K141">
        <v>4</v>
      </c>
      <c r="L141">
        <v>740.65</v>
      </c>
    </row>
    <row r="142" spans="3:12" x14ac:dyDescent="0.35">
      <c r="C142" t="s">
        <v>144</v>
      </c>
      <c r="D142" s="1">
        <v>45362</v>
      </c>
      <c r="E142" s="1" t="str">
        <f>TEXT(Table1[[#This Row],[Date]],"MMM")</f>
        <v>Mar</v>
      </c>
      <c r="F142" s="1" t="str">
        <f>TEXT(Table1[[#This Row],[Date]],"yyyy")</f>
        <v>2024</v>
      </c>
      <c r="G142" t="s">
        <v>308</v>
      </c>
      <c r="H142" t="s">
        <v>314</v>
      </c>
      <c r="I142" t="s">
        <v>317</v>
      </c>
      <c r="J142">
        <v>1208.9100000000001</v>
      </c>
      <c r="K142">
        <v>2</v>
      </c>
      <c r="L142">
        <v>444.76</v>
      </c>
    </row>
    <row r="143" spans="3:12" x14ac:dyDescent="0.35">
      <c r="C143" t="s">
        <v>145</v>
      </c>
      <c r="D143" s="1">
        <v>45000</v>
      </c>
      <c r="E143" s="1" t="str">
        <f>TEXT(Table1[[#This Row],[Date]],"MMM")</f>
        <v>Mar</v>
      </c>
      <c r="F143" s="1" t="str">
        <f>TEXT(Table1[[#This Row],[Date]],"yyyy")</f>
        <v>2023</v>
      </c>
      <c r="G143" t="s">
        <v>312</v>
      </c>
      <c r="H143" t="s">
        <v>315</v>
      </c>
      <c r="I143" t="s">
        <v>317</v>
      </c>
      <c r="J143">
        <v>182.75</v>
      </c>
      <c r="K143">
        <v>1</v>
      </c>
      <c r="L143">
        <v>149.41999999999999</v>
      </c>
    </row>
    <row r="144" spans="3:12" x14ac:dyDescent="0.35">
      <c r="C144" t="s">
        <v>146</v>
      </c>
      <c r="D144" s="1">
        <v>45376</v>
      </c>
      <c r="E144" s="1" t="str">
        <f>TEXT(Table1[[#This Row],[Date]],"MMM")</f>
        <v>Mar</v>
      </c>
      <c r="F144" s="1" t="str">
        <f>TEXT(Table1[[#This Row],[Date]],"yyyy")</f>
        <v>2024</v>
      </c>
      <c r="G144" t="s">
        <v>308</v>
      </c>
      <c r="H144" t="s">
        <v>314</v>
      </c>
      <c r="I144" t="s">
        <v>319</v>
      </c>
      <c r="J144">
        <v>942.08</v>
      </c>
      <c r="K144">
        <v>2</v>
      </c>
      <c r="L144">
        <v>385.58</v>
      </c>
    </row>
    <row r="145" spans="3:12" x14ac:dyDescent="0.35">
      <c r="C145" t="s">
        <v>147</v>
      </c>
      <c r="D145" s="1">
        <v>45439</v>
      </c>
      <c r="E145" s="1" t="str">
        <f>TEXT(Table1[[#This Row],[Date]],"MMM")</f>
        <v>May</v>
      </c>
      <c r="F145" s="1" t="str">
        <f>TEXT(Table1[[#This Row],[Date]],"yyyy")</f>
        <v>2024</v>
      </c>
      <c r="G145" t="s">
        <v>311</v>
      </c>
      <c r="H145" t="s">
        <v>314</v>
      </c>
      <c r="I145" t="s">
        <v>319</v>
      </c>
      <c r="J145">
        <v>4128.41</v>
      </c>
      <c r="K145">
        <v>9</v>
      </c>
      <c r="L145">
        <v>405.16</v>
      </c>
    </row>
    <row r="146" spans="3:12" x14ac:dyDescent="0.35">
      <c r="C146" t="s">
        <v>148</v>
      </c>
      <c r="D146" s="1">
        <v>45257</v>
      </c>
      <c r="E146" s="1" t="str">
        <f>TEXT(Table1[[#This Row],[Date]],"MMM")</f>
        <v>Nov</v>
      </c>
      <c r="F146" s="1" t="str">
        <f>TEXT(Table1[[#This Row],[Date]],"yyyy")</f>
        <v>2023</v>
      </c>
      <c r="G146" t="s">
        <v>309</v>
      </c>
      <c r="H146" t="s">
        <v>314</v>
      </c>
      <c r="I146" t="s">
        <v>318</v>
      </c>
      <c r="J146">
        <v>2446.84</v>
      </c>
      <c r="K146">
        <v>10</v>
      </c>
      <c r="L146">
        <v>215.29</v>
      </c>
    </row>
    <row r="147" spans="3:12" x14ac:dyDescent="0.35">
      <c r="C147" t="s">
        <v>149</v>
      </c>
      <c r="D147" s="1">
        <v>45615</v>
      </c>
      <c r="E147" s="1" t="str">
        <f>TEXT(Table1[[#This Row],[Date]],"MMM")</f>
        <v>Nov</v>
      </c>
      <c r="F147" s="1" t="str">
        <f>TEXT(Table1[[#This Row],[Date]],"yyyy")</f>
        <v>2024</v>
      </c>
      <c r="G147" t="s">
        <v>308</v>
      </c>
      <c r="H147" t="s">
        <v>314</v>
      </c>
      <c r="I147" t="s">
        <v>316</v>
      </c>
      <c r="J147">
        <v>3298.6</v>
      </c>
      <c r="K147">
        <v>5</v>
      </c>
      <c r="L147">
        <v>469.47</v>
      </c>
    </row>
    <row r="148" spans="3:12" x14ac:dyDescent="0.35">
      <c r="C148" t="s">
        <v>150</v>
      </c>
      <c r="D148" s="1">
        <v>45458</v>
      </c>
      <c r="E148" s="1" t="str">
        <f>TEXT(Table1[[#This Row],[Date]],"MMM")</f>
        <v>Jun</v>
      </c>
      <c r="F148" s="1" t="str">
        <f>TEXT(Table1[[#This Row],[Date]],"yyyy")</f>
        <v>2024</v>
      </c>
      <c r="G148" t="s">
        <v>310</v>
      </c>
      <c r="H148" t="s">
        <v>315</v>
      </c>
      <c r="I148" t="s">
        <v>318</v>
      </c>
      <c r="J148">
        <v>6890.55</v>
      </c>
      <c r="K148">
        <v>8</v>
      </c>
      <c r="L148">
        <v>734.54</v>
      </c>
    </row>
    <row r="149" spans="3:12" x14ac:dyDescent="0.35">
      <c r="C149" t="s">
        <v>151</v>
      </c>
      <c r="D149" s="1">
        <v>45577</v>
      </c>
      <c r="E149" s="1" t="str">
        <f>TEXT(Table1[[#This Row],[Date]],"MMM")</f>
        <v>Oct</v>
      </c>
      <c r="F149" s="1" t="str">
        <f>TEXT(Table1[[#This Row],[Date]],"yyyy")</f>
        <v>2024</v>
      </c>
      <c r="G149" t="s">
        <v>313</v>
      </c>
      <c r="H149" t="s">
        <v>315</v>
      </c>
      <c r="I149" t="s">
        <v>318</v>
      </c>
      <c r="J149">
        <v>7994.49</v>
      </c>
      <c r="K149">
        <v>8</v>
      </c>
      <c r="L149">
        <v>775.86</v>
      </c>
    </row>
    <row r="150" spans="3:12" x14ac:dyDescent="0.35">
      <c r="C150" t="s">
        <v>152</v>
      </c>
      <c r="D150" s="1">
        <v>45255</v>
      </c>
      <c r="E150" s="1" t="str">
        <f>TEXT(Table1[[#This Row],[Date]],"MMM")</f>
        <v>Nov</v>
      </c>
      <c r="F150" s="1" t="str">
        <f>TEXT(Table1[[#This Row],[Date]],"yyyy")</f>
        <v>2023</v>
      </c>
      <c r="G150" t="s">
        <v>311</v>
      </c>
      <c r="H150" t="s">
        <v>314</v>
      </c>
      <c r="I150" t="s">
        <v>319</v>
      </c>
      <c r="J150">
        <v>1697.66</v>
      </c>
      <c r="K150">
        <v>2</v>
      </c>
      <c r="L150">
        <v>689.03</v>
      </c>
    </row>
    <row r="151" spans="3:12" x14ac:dyDescent="0.35">
      <c r="C151" t="s">
        <v>153</v>
      </c>
      <c r="D151" s="1">
        <v>45222</v>
      </c>
      <c r="E151" s="1" t="str">
        <f>TEXT(Table1[[#This Row],[Date]],"MMM")</f>
        <v>Oct</v>
      </c>
      <c r="F151" s="1" t="str">
        <f>TEXT(Table1[[#This Row],[Date]],"yyyy")</f>
        <v>2023</v>
      </c>
      <c r="G151" t="s">
        <v>308</v>
      </c>
      <c r="H151" t="s">
        <v>314</v>
      </c>
      <c r="I151" t="s">
        <v>318</v>
      </c>
      <c r="J151">
        <v>6048.5</v>
      </c>
      <c r="K151">
        <v>7</v>
      </c>
      <c r="L151">
        <v>654.58000000000004</v>
      </c>
    </row>
    <row r="152" spans="3:12" x14ac:dyDescent="0.35">
      <c r="C152" t="s">
        <v>154</v>
      </c>
      <c r="D152" s="1">
        <v>45249</v>
      </c>
      <c r="E152" s="1" t="str">
        <f>TEXT(Table1[[#This Row],[Date]],"MMM")</f>
        <v>Nov</v>
      </c>
      <c r="F152" s="1" t="str">
        <f>TEXT(Table1[[#This Row],[Date]],"yyyy")</f>
        <v>2023</v>
      </c>
      <c r="G152" t="s">
        <v>311</v>
      </c>
      <c r="H152" t="s">
        <v>314</v>
      </c>
      <c r="I152" t="s">
        <v>316</v>
      </c>
      <c r="J152">
        <v>2024.9</v>
      </c>
      <c r="K152">
        <v>5</v>
      </c>
      <c r="L152">
        <v>272.14999999999998</v>
      </c>
    </row>
    <row r="153" spans="3:12" x14ac:dyDescent="0.35">
      <c r="C153" t="s">
        <v>155</v>
      </c>
      <c r="D153" s="1">
        <v>45600</v>
      </c>
      <c r="E153" s="1" t="str">
        <f>TEXT(Table1[[#This Row],[Date]],"MMM")</f>
        <v>Nov</v>
      </c>
      <c r="F153" s="1" t="str">
        <f>TEXT(Table1[[#This Row],[Date]],"yyyy")</f>
        <v>2024</v>
      </c>
      <c r="G153" t="s">
        <v>311</v>
      </c>
      <c r="H153" t="s">
        <v>314</v>
      </c>
      <c r="I153" t="s">
        <v>316</v>
      </c>
      <c r="J153">
        <v>3839.58</v>
      </c>
      <c r="K153">
        <v>9</v>
      </c>
      <c r="L153">
        <v>380.34</v>
      </c>
    </row>
    <row r="154" spans="3:12" x14ac:dyDescent="0.35">
      <c r="C154" t="s">
        <v>156</v>
      </c>
      <c r="D154" s="1">
        <v>45564</v>
      </c>
      <c r="E154" s="1" t="str">
        <f>TEXT(Table1[[#This Row],[Date]],"MMM")</f>
        <v>Sept</v>
      </c>
      <c r="F154" s="1" t="str">
        <f>TEXT(Table1[[#This Row],[Date]],"yyyy")</f>
        <v>2024</v>
      </c>
      <c r="G154" t="s">
        <v>313</v>
      </c>
      <c r="H154" t="s">
        <v>315</v>
      </c>
      <c r="I154" t="s">
        <v>319</v>
      </c>
      <c r="J154">
        <v>5703.82</v>
      </c>
      <c r="K154">
        <v>8</v>
      </c>
      <c r="L154">
        <v>507.82</v>
      </c>
    </row>
    <row r="155" spans="3:12" x14ac:dyDescent="0.35">
      <c r="C155" t="s">
        <v>157</v>
      </c>
      <c r="D155" s="1">
        <v>45489</v>
      </c>
      <c r="E155" s="1" t="str">
        <f>TEXT(Table1[[#This Row],[Date]],"MMM")</f>
        <v>Jul</v>
      </c>
      <c r="F155" s="1" t="str">
        <f>TEXT(Table1[[#This Row],[Date]],"yyyy")</f>
        <v>2024</v>
      </c>
      <c r="G155" t="s">
        <v>310</v>
      </c>
      <c r="H155" t="s">
        <v>315</v>
      </c>
      <c r="I155" t="s">
        <v>319</v>
      </c>
      <c r="J155">
        <v>2844.74</v>
      </c>
      <c r="K155">
        <v>3</v>
      </c>
      <c r="L155">
        <v>743.58</v>
      </c>
    </row>
    <row r="156" spans="3:12" x14ac:dyDescent="0.35">
      <c r="C156" t="s">
        <v>158</v>
      </c>
      <c r="D156" s="1">
        <v>45051</v>
      </c>
      <c r="E156" s="1" t="str">
        <f>TEXT(Table1[[#This Row],[Date]],"MMM")</f>
        <v>May</v>
      </c>
      <c r="F156" s="1" t="str">
        <f>TEXT(Table1[[#This Row],[Date]],"yyyy")</f>
        <v>2023</v>
      </c>
      <c r="G156" t="s">
        <v>308</v>
      </c>
      <c r="H156" t="s">
        <v>314</v>
      </c>
      <c r="I156" t="s">
        <v>318</v>
      </c>
      <c r="J156">
        <v>1046.69</v>
      </c>
      <c r="K156">
        <v>1</v>
      </c>
      <c r="L156">
        <v>779.05</v>
      </c>
    </row>
    <row r="157" spans="3:12" x14ac:dyDescent="0.35">
      <c r="C157" t="s">
        <v>159</v>
      </c>
      <c r="D157" s="1">
        <v>45245</v>
      </c>
      <c r="E157" s="1" t="str">
        <f>TEXT(Table1[[#This Row],[Date]],"MMM")</f>
        <v>Nov</v>
      </c>
      <c r="F157" s="1" t="str">
        <f>TEXT(Table1[[#This Row],[Date]],"yyyy")</f>
        <v>2023</v>
      </c>
      <c r="G157" t="s">
        <v>310</v>
      </c>
      <c r="H157" t="s">
        <v>315</v>
      </c>
      <c r="I157" t="s">
        <v>317</v>
      </c>
      <c r="J157">
        <v>348.68</v>
      </c>
      <c r="K157">
        <v>9</v>
      </c>
      <c r="L157">
        <v>30.67</v>
      </c>
    </row>
    <row r="158" spans="3:12" x14ac:dyDescent="0.35">
      <c r="C158" t="s">
        <v>160</v>
      </c>
      <c r="D158" s="1">
        <v>45399</v>
      </c>
      <c r="E158" s="1" t="str">
        <f>TEXT(Table1[[#This Row],[Date]],"MMM")</f>
        <v>Apr</v>
      </c>
      <c r="F158" s="1" t="str">
        <f>TEXT(Table1[[#This Row],[Date]],"yyyy")</f>
        <v>2024</v>
      </c>
      <c r="G158" t="s">
        <v>310</v>
      </c>
      <c r="H158" t="s">
        <v>315</v>
      </c>
      <c r="I158" t="s">
        <v>316</v>
      </c>
      <c r="J158">
        <v>1220.1600000000001</v>
      </c>
      <c r="K158">
        <v>2</v>
      </c>
      <c r="L158">
        <v>525.21</v>
      </c>
    </row>
    <row r="159" spans="3:12" x14ac:dyDescent="0.35">
      <c r="C159" t="s">
        <v>161</v>
      </c>
      <c r="D159" s="1">
        <v>45448</v>
      </c>
      <c r="E159" s="1" t="str">
        <f>TEXT(Table1[[#This Row],[Date]],"MMM")</f>
        <v>Jun</v>
      </c>
      <c r="F159" s="1" t="str">
        <f>TEXT(Table1[[#This Row],[Date]],"yyyy")</f>
        <v>2024</v>
      </c>
      <c r="G159" t="s">
        <v>308</v>
      </c>
      <c r="H159" t="s">
        <v>314</v>
      </c>
      <c r="I159" t="s">
        <v>319</v>
      </c>
      <c r="J159">
        <v>2224.48</v>
      </c>
      <c r="K159">
        <v>5</v>
      </c>
      <c r="L159">
        <v>344.08</v>
      </c>
    </row>
    <row r="160" spans="3:12" x14ac:dyDescent="0.35">
      <c r="C160" t="s">
        <v>162</v>
      </c>
      <c r="D160" s="1">
        <v>45394</v>
      </c>
      <c r="E160" s="1" t="str">
        <f>TEXT(Table1[[#This Row],[Date]],"MMM")</f>
        <v>Apr</v>
      </c>
      <c r="F160" s="1" t="str">
        <f>TEXT(Table1[[#This Row],[Date]],"yyyy")</f>
        <v>2024</v>
      </c>
      <c r="G160" t="s">
        <v>311</v>
      </c>
      <c r="H160" t="s">
        <v>314</v>
      </c>
      <c r="I160" t="s">
        <v>317</v>
      </c>
      <c r="J160">
        <v>1406.06</v>
      </c>
      <c r="K160">
        <v>9</v>
      </c>
      <c r="L160">
        <v>132.82</v>
      </c>
    </row>
    <row r="161" spans="3:12" x14ac:dyDescent="0.35">
      <c r="C161" t="s">
        <v>163</v>
      </c>
      <c r="D161" s="1">
        <v>44998</v>
      </c>
      <c r="E161" s="1" t="str">
        <f>TEXT(Table1[[#This Row],[Date]],"MMM")</f>
        <v>Mar</v>
      </c>
      <c r="F161" s="1" t="str">
        <f>TEXT(Table1[[#This Row],[Date]],"yyyy")</f>
        <v>2023</v>
      </c>
      <c r="G161" t="s">
        <v>313</v>
      </c>
      <c r="H161" t="s">
        <v>315</v>
      </c>
      <c r="I161" t="s">
        <v>317</v>
      </c>
      <c r="J161">
        <v>4488.8599999999997</v>
      </c>
      <c r="K161">
        <v>5</v>
      </c>
      <c r="L161">
        <v>622.69000000000005</v>
      </c>
    </row>
    <row r="162" spans="3:12" x14ac:dyDescent="0.35">
      <c r="C162" t="s">
        <v>164</v>
      </c>
      <c r="D162" s="1">
        <v>44929</v>
      </c>
      <c r="E162" s="1" t="str">
        <f>TEXT(Table1[[#This Row],[Date]],"MMM")</f>
        <v>Jan</v>
      </c>
      <c r="F162" s="1" t="str">
        <f>TEXT(Table1[[#This Row],[Date]],"yyyy")</f>
        <v>2023</v>
      </c>
      <c r="G162" t="s">
        <v>312</v>
      </c>
      <c r="H162" t="s">
        <v>315</v>
      </c>
      <c r="I162" t="s">
        <v>319</v>
      </c>
      <c r="J162">
        <v>4206.82</v>
      </c>
      <c r="K162">
        <v>5</v>
      </c>
      <c r="L162">
        <v>586.32000000000005</v>
      </c>
    </row>
    <row r="163" spans="3:12" x14ac:dyDescent="0.35">
      <c r="C163" t="s">
        <v>165</v>
      </c>
      <c r="D163" s="1">
        <v>45079</v>
      </c>
      <c r="E163" s="1" t="str">
        <f>TEXT(Table1[[#This Row],[Date]],"MMM")</f>
        <v>Jun</v>
      </c>
      <c r="F163" s="1" t="str">
        <f>TEXT(Table1[[#This Row],[Date]],"yyyy")</f>
        <v>2023</v>
      </c>
      <c r="G163" t="s">
        <v>313</v>
      </c>
      <c r="H163" t="s">
        <v>315</v>
      </c>
      <c r="I163" t="s">
        <v>318</v>
      </c>
      <c r="J163">
        <v>4358.83</v>
      </c>
      <c r="K163">
        <v>8</v>
      </c>
      <c r="L163">
        <v>440.09</v>
      </c>
    </row>
    <row r="164" spans="3:12" x14ac:dyDescent="0.35">
      <c r="C164" t="s">
        <v>166</v>
      </c>
      <c r="D164" s="1">
        <v>45393</v>
      </c>
      <c r="E164" s="1" t="str">
        <f>TEXT(Table1[[#This Row],[Date]],"MMM")</f>
        <v>Apr</v>
      </c>
      <c r="F164" s="1" t="str">
        <f>TEXT(Table1[[#This Row],[Date]],"yyyy")</f>
        <v>2024</v>
      </c>
      <c r="G164" t="s">
        <v>313</v>
      </c>
      <c r="H164" t="s">
        <v>315</v>
      </c>
      <c r="I164" t="s">
        <v>318</v>
      </c>
      <c r="J164">
        <v>6252.39</v>
      </c>
      <c r="K164">
        <v>6</v>
      </c>
      <c r="L164">
        <v>698.29</v>
      </c>
    </row>
    <row r="165" spans="3:12" x14ac:dyDescent="0.35">
      <c r="C165" t="s">
        <v>167</v>
      </c>
      <c r="D165" s="1">
        <v>45166</v>
      </c>
      <c r="E165" s="1" t="str">
        <f>TEXT(Table1[[#This Row],[Date]],"MMM")</f>
        <v>Aug</v>
      </c>
      <c r="F165" s="1" t="str">
        <f>TEXT(Table1[[#This Row],[Date]],"yyyy")</f>
        <v>2023</v>
      </c>
      <c r="G165" t="s">
        <v>310</v>
      </c>
      <c r="H165" t="s">
        <v>315</v>
      </c>
      <c r="I165" t="s">
        <v>318</v>
      </c>
      <c r="J165">
        <v>528.79</v>
      </c>
      <c r="K165">
        <v>7</v>
      </c>
      <c r="L165">
        <v>54.04</v>
      </c>
    </row>
    <row r="166" spans="3:12" x14ac:dyDescent="0.35">
      <c r="C166" t="s">
        <v>168</v>
      </c>
      <c r="D166" s="1">
        <v>45322</v>
      </c>
      <c r="E166" s="1" t="str">
        <f>TEXT(Table1[[#This Row],[Date]],"MMM")</f>
        <v>Jan</v>
      </c>
      <c r="F166" s="1" t="str">
        <f>TEXT(Table1[[#This Row],[Date]],"yyyy")</f>
        <v>2024</v>
      </c>
      <c r="G166" t="s">
        <v>308</v>
      </c>
      <c r="H166" t="s">
        <v>314</v>
      </c>
      <c r="I166" t="s">
        <v>318</v>
      </c>
      <c r="J166">
        <v>1359.04</v>
      </c>
      <c r="K166">
        <v>3</v>
      </c>
      <c r="L166">
        <v>406.36</v>
      </c>
    </row>
    <row r="167" spans="3:12" x14ac:dyDescent="0.35">
      <c r="C167" t="s">
        <v>169</v>
      </c>
      <c r="D167" s="1">
        <v>45029</v>
      </c>
      <c r="E167" s="1" t="str">
        <f>TEXT(Table1[[#This Row],[Date]],"MMM")</f>
        <v>Apr</v>
      </c>
      <c r="F167" s="1" t="str">
        <f>TEXT(Table1[[#This Row],[Date]],"yyyy")</f>
        <v>2023</v>
      </c>
      <c r="G167" t="s">
        <v>313</v>
      </c>
      <c r="H167" t="s">
        <v>315</v>
      </c>
      <c r="I167" t="s">
        <v>319</v>
      </c>
      <c r="J167">
        <v>1145.3399999999999</v>
      </c>
      <c r="K167">
        <v>8</v>
      </c>
      <c r="L167">
        <v>97.78</v>
      </c>
    </row>
    <row r="168" spans="3:12" x14ac:dyDescent="0.35">
      <c r="C168" t="s">
        <v>170</v>
      </c>
      <c r="D168" s="1">
        <v>45346</v>
      </c>
      <c r="E168" s="1" t="str">
        <f>TEXT(Table1[[#This Row],[Date]],"MMM")</f>
        <v>Feb</v>
      </c>
      <c r="F168" s="1" t="str">
        <f>TEXT(Table1[[#This Row],[Date]],"yyyy")</f>
        <v>2024</v>
      </c>
      <c r="G168" t="s">
        <v>309</v>
      </c>
      <c r="H168" t="s">
        <v>314</v>
      </c>
      <c r="I168" t="s">
        <v>317</v>
      </c>
      <c r="J168">
        <v>332.12</v>
      </c>
      <c r="K168">
        <v>3</v>
      </c>
      <c r="L168">
        <v>78.37</v>
      </c>
    </row>
    <row r="169" spans="3:12" x14ac:dyDescent="0.35">
      <c r="C169" t="s">
        <v>171</v>
      </c>
      <c r="D169" s="1">
        <v>45565</v>
      </c>
      <c r="E169" s="1" t="str">
        <f>TEXT(Table1[[#This Row],[Date]],"MMM")</f>
        <v>Sept</v>
      </c>
      <c r="F169" s="1" t="str">
        <f>TEXT(Table1[[#This Row],[Date]],"yyyy")</f>
        <v>2024</v>
      </c>
      <c r="G169" t="s">
        <v>312</v>
      </c>
      <c r="H169" t="s">
        <v>315</v>
      </c>
      <c r="I169" t="s">
        <v>319</v>
      </c>
      <c r="J169">
        <v>5313.45</v>
      </c>
      <c r="K169">
        <v>7</v>
      </c>
      <c r="L169">
        <v>526.87</v>
      </c>
    </row>
    <row r="170" spans="3:12" x14ac:dyDescent="0.35">
      <c r="C170" t="s">
        <v>172</v>
      </c>
      <c r="D170" s="1">
        <v>45251</v>
      </c>
      <c r="E170" s="1" t="str">
        <f>TEXT(Table1[[#This Row],[Date]],"MMM")</f>
        <v>Nov</v>
      </c>
      <c r="F170" s="1" t="str">
        <f>TEXT(Table1[[#This Row],[Date]],"yyyy")</f>
        <v>2023</v>
      </c>
      <c r="G170" t="s">
        <v>308</v>
      </c>
      <c r="H170" t="s">
        <v>314</v>
      </c>
      <c r="I170" t="s">
        <v>318</v>
      </c>
      <c r="J170">
        <v>6244.51</v>
      </c>
      <c r="K170">
        <v>8</v>
      </c>
      <c r="L170">
        <v>700.46</v>
      </c>
    </row>
    <row r="171" spans="3:12" x14ac:dyDescent="0.35">
      <c r="C171" t="s">
        <v>173</v>
      </c>
      <c r="D171" s="1">
        <v>45573</v>
      </c>
      <c r="E171" s="1" t="str">
        <f>TEXT(Table1[[#This Row],[Date]],"MMM")</f>
        <v>Oct</v>
      </c>
      <c r="F171" s="1" t="str">
        <f>TEXT(Table1[[#This Row],[Date]],"yyyy")</f>
        <v>2024</v>
      </c>
      <c r="G171" t="s">
        <v>309</v>
      </c>
      <c r="H171" t="s">
        <v>314</v>
      </c>
      <c r="I171" t="s">
        <v>317</v>
      </c>
      <c r="J171">
        <v>5580.77</v>
      </c>
      <c r="K171">
        <v>5</v>
      </c>
      <c r="L171">
        <v>797.99</v>
      </c>
    </row>
    <row r="172" spans="3:12" x14ac:dyDescent="0.35">
      <c r="C172" t="s">
        <v>174</v>
      </c>
      <c r="D172" s="1">
        <v>45575</v>
      </c>
      <c r="E172" s="1" t="str">
        <f>TEXT(Table1[[#This Row],[Date]],"MMM")</f>
        <v>Oct</v>
      </c>
      <c r="F172" s="1" t="str">
        <f>TEXT(Table1[[#This Row],[Date]],"yyyy")</f>
        <v>2024</v>
      </c>
      <c r="G172" t="s">
        <v>311</v>
      </c>
      <c r="H172" t="s">
        <v>314</v>
      </c>
      <c r="I172" t="s">
        <v>316</v>
      </c>
      <c r="J172">
        <v>1008.6</v>
      </c>
      <c r="K172">
        <v>2</v>
      </c>
      <c r="L172">
        <v>366.07</v>
      </c>
    </row>
    <row r="173" spans="3:12" x14ac:dyDescent="0.35">
      <c r="C173" t="s">
        <v>175</v>
      </c>
      <c r="D173" s="1">
        <v>45259</v>
      </c>
      <c r="E173" s="1" t="str">
        <f>TEXT(Table1[[#This Row],[Date]],"MMM")</f>
        <v>Nov</v>
      </c>
      <c r="F173" s="1" t="str">
        <f>TEXT(Table1[[#This Row],[Date]],"yyyy")</f>
        <v>2023</v>
      </c>
      <c r="G173" t="s">
        <v>309</v>
      </c>
      <c r="H173" t="s">
        <v>314</v>
      </c>
      <c r="I173" t="s">
        <v>316</v>
      </c>
      <c r="J173">
        <v>311.02</v>
      </c>
      <c r="K173">
        <v>1</v>
      </c>
      <c r="L173">
        <v>248.83</v>
      </c>
    </row>
    <row r="174" spans="3:12" x14ac:dyDescent="0.35">
      <c r="C174" t="s">
        <v>176</v>
      </c>
      <c r="D174" s="1">
        <v>45470</v>
      </c>
      <c r="E174" s="1" t="str">
        <f>TEXT(Table1[[#This Row],[Date]],"MMM")</f>
        <v>Jun</v>
      </c>
      <c r="F174" s="1" t="str">
        <f>TEXT(Table1[[#This Row],[Date]],"yyyy")</f>
        <v>2024</v>
      </c>
      <c r="G174" t="s">
        <v>310</v>
      </c>
      <c r="H174" t="s">
        <v>315</v>
      </c>
      <c r="I174" t="s">
        <v>317</v>
      </c>
      <c r="J174">
        <v>4576.8500000000004</v>
      </c>
      <c r="K174">
        <v>7</v>
      </c>
      <c r="L174">
        <v>461.42</v>
      </c>
    </row>
    <row r="175" spans="3:12" x14ac:dyDescent="0.35">
      <c r="C175" t="s">
        <v>177</v>
      </c>
      <c r="D175" s="1">
        <v>45007</v>
      </c>
      <c r="E175" s="1" t="str">
        <f>TEXT(Table1[[#This Row],[Date]],"MMM")</f>
        <v>Mar</v>
      </c>
      <c r="F175" s="1" t="str">
        <f>TEXT(Table1[[#This Row],[Date]],"yyyy")</f>
        <v>2023</v>
      </c>
      <c r="G175" t="s">
        <v>310</v>
      </c>
      <c r="H175" t="s">
        <v>315</v>
      </c>
      <c r="I175" t="s">
        <v>317</v>
      </c>
      <c r="J175">
        <v>9425.08</v>
      </c>
      <c r="K175">
        <v>10</v>
      </c>
      <c r="L175">
        <v>699.25</v>
      </c>
    </row>
    <row r="176" spans="3:12" x14ac:dyDescent="0.35">
      <c r="C176" t="s">
        <v>178</v>
      </c>
      <c r="D176" s="1">
        <v>45524</v>
      </c>
      <c r="E176" s="1" t="str">
        <f>TEXT(Table1[[#This Row],[Date]],"MMM")</f>
        <v>Aug</v>
      </c>
      <c r="F176" s="1" t="str">
        <f>TEXT(Table1[[#This Row],[Date]],"yyyy")</f>
        <v>2024</v>
      </c>
      <c r="G176" t="s">
        <v>310</v>
      </c>
      <c r="H176" t="s">
        <v>315</v>
      </c>
      <c r="I176" t="s">
        <v>318</v>
      </c>
      <c r="J176">
        <v>817.61</v>
      </c>
      <c r="K176">
        <v>3</v>
      </c>
      <c r="L176">
        <v>201.11</v>
      </c>
    </row>
    <row r="177" spans="3:12" x14ac:dyDescent="0.35">
      <c r="C177" t="s">
        <v>179</v>
      </c>
      <c r="D177" s="1">
        <v>45609</v>
      </c>
      <c r="E177" s="1" t="str">
        <f>TEXT(Table1[[#This Row],[Date]],"MMM")</f>
        <v>Nov</v>
      </c>
      <c r="F177" s="1" t="str">
        <f>TEXT(Table1[[#This Row],[Date]],"yyyy")</f>
        <v>2024</v>
      </c>
      <c r="G177" t="s">
        <v>311</v>
      </c>
      <c r="H177" t="s">
        <v>314</v>
      </c>
      <c r="I177" t="s">
        <v>319</v>
      </c>
      <c r="J177">
        <v>927.47</v>
      </c>
      <c r="K177">
        <v>1</v>
      </c>
      <c r="L177">
        <v>721.15</v>
      </c>
    </row>
    <row r="178" spans="3:12" x14ac:dyDescent="0.35">
      <c r="C178" t="s">
        <v>180</v>
      </c>
      <c r="D178" s="1">
        <v>45002</v>
      </c>
      <c r="E178" s="1" t="str">
        <f>TEXT(Table1[[#This Row],[Date]],"MMM")</f>
        <v>Mar</v>
      </c>
      <c r="F178" s="1" t="str">
        <f>TEXT(Table1[[#This Row],[Date]],"yyyy")</f>
        <v>2023</v>
      </c>
      <c r="G178" t="s">
        <v>312</v>
      </c>
      <c r="H178" t="s">
        <v>315</v>
      </c>
      <c r="I178" t="s">
        <v>317</v>
      </c>
      <c r="J178">
        <v>9057.44</v>
      </c>
      <c r="K178">
        <v>8</v>
      </c>
      <c r="L178">
        <v>757.28</v>
      </c>
    </row>
    <row r="179" spans="3:12" x14ac:dyDescent="0.35">
      <c r="C179" t="s">
        <v>181</v>
      </c>
      <c r="D179" s="1">
        <v>45633</v>
      </c>
      <c r="E179" s="1" t="str">
        <f>TEXT(Table1[[#This Row],[Date]],"MMM")</f>
        <v>Dec</v>
      </c>
      <c r="F179" s="1" t="str">
        <f>TEXT(Table1[[#This Row],[Date]],"yyyy")</f>
        <v>2024</v>
      </c>
      <c r="G179" t="s">
        <v>312</v>
      </c>
      <c r="H179" t="s">
        <v>315</v>
      </c>
      <c r="I179" t="s">
        <v>318</v>
      </c>
      <c r="J179">
        <v>2297.21</v>
      </c>
      <c r="K179">
        <v>5</v>
      </c>
      <c r="L179">
        <v>376.33</v>
      </c>
    </row>
    <row r="180" spans="3:12" x14ac:dyDescent="0.35">
      <c r="C180" t="s">
        <v>182</v>
      </c>
      <c r="D180" s="1">
        <v>45036</v>
      </c>
      <c r="E180" s="1" t="str">
        <f>TEXT(Table1[[#This Row],[Date]],"MMM")</f>
        <v>Apr</v>
      </c>
      <c r="F180" s="1" t="str">
        <f>TEXT(Table1[[#This Row],[Date]],"yyyy")</f>
        <v>2023</v>
      </c>
      <c r="G180" t="s">
        <v>311</v>
      </c>
      <c r="H180" t="s">
        <v>314</v>
      </c>
      <c r="I180" t="s">
        <v>318</v>
      </c>
      <c r="J180">
        <v>1579.15</v>
      </c>
      <c r="K180">
        <v>4</v>
      </c>
      <c r="L180">
        <v>317.45999999999998</v>
      </c>
    </row>
    <row r="181" spans="3:12" x14ac:dyDescent="0.35">
      <c r="C181" t="s">
        <v>183</v>
      </c>
      <c r="D181" s="1">
        <v>44949</v>
      </c>
      <c r="E181" s="1" t="str">
        <f>TEXT(Table1[[#This Row],[Date]],"MMM")</f>
        <v>Jan</v>
      </c>
      <c r="F181" s="1" t="str">
        <f>TEXT(Table1[[#This Row],[Date]],"yyyy")</f>
        <v>2023</v>
      </c>
      <c r="G181" t="s">
        <v>312</v>
      </c>
      <c r="H181" t="s">
        <v>315</v>
      </c>
      <c r="I181" t="s">
        <v>319</v>
      </c>
      <c r="J181">
        <v>2173.4299999999998</v>
      </c>
      <c r="K181">
        <v>7</v>
      </c>
      <c r="L181">
        <v>234.09</v>
      </c>
    </row>
    <row r="182" spans="3:12" x14ac:dyDescent="0.35">
      <c r="C182" t="s">
        <v>184</v>
      </c>
      <c r="D182" s="1">
        <v>45547</v>
      </c>
      <c r="E182" s="1" t="str">
        <f>TEXT(Table1[[#This Row],[Date]],"MMM")</f>
        <v>Sept</v>
      </c>
      <c r="F182" s="1" t="str">
        <f>TEXT(Table1[[#This Row],[Date]],"yyyy")</f>
        <v>2024</v>
      </c>
      <c r="G182" t="s">
        <v>308</v>
      </c>
      <c r="H182" t="s">
        <v>314</v>
      </c>
      <c r="I182" t="s">
        <v>316</v>
      </c>
      <c r="J182">
        <v>7827.33</v>
      </c>
      <c r="K182">
        <v>8</v>
      </c>
      <c r="L182">
        <v>669.61</v>
      </c>
    </row>
    <row r="183" spans="3:12" x14ac:dyDescent="0.35">
      <c r="C183" t="s">
        <v>185</v>
      </c>
      <c r="D183" s="1">
        <v>45151</v>
      </c>
      <c r="E183" s="1" t="str">
        <f>TEXT(Table1[[#This Row],[Date]],"MMM")</f>
        <v>Aug</v>
      </c>
      <c r="F183" s="1" t="str">
        <f>TEXT(Table1[[#This Row],[Date]],"yyyy")</f>
        <v>2023</v>
      </c>
      <c r="G183" t="s">
        <v>310</v>
      </c>
      <c r="H183" t="s">
        <v>315</v>
      </c>
      <c r="I183" t="s">
        <v>319</v>
      </c>
      <c r="J183">
        <v>2765.79</v>
      </c>
      <c r="K183">
        <v>4</v>
      </c>
      <c r="L183">
        <v>504.3</v>
      </c>
    </row>
    <row r="184" spans="3:12" x14ac:dyDescent="0.35">
      <c r="C184" t="s">
        <v>186</v>
      </c>
      <c r="D184" s="1">
        <v>45570</v>
      </c>
      <c r="E184" s="1" t="str">
        <f>TEXT(Table1[[#This Row],[Date]],"MMM")</f>
        <v>Oct</v>
      </c>
      <c r="F184" s="1" t="str">
        <f>TEXT(Table1[[#This Row],[Date]],"yyyy")</f>
        <v>2024</v>
      </c>
      <c r="G184" t="s">
        <v>308</v>
      </c>
      <c r="H184" t="s">
        <v>314</v>
      </c>
      <c r="I184" t="s">
        <v>317</v>
      </c>
      <c r="J184">
        <v>1968.93</v>
      </c>
      <c r="K184">
        <v>2</v>
      </c>
      <c r="L184">
        <v>724.65</v>
      </c>
    </row>
    <row r="185" spans="3:12" x14ac:dyDescent="0.35">
      <c r="C185" t="s">
        <v>187</v>
      </c>
      <c r="D185" s="1">
        <v>44961</v>
      </c>
      <c r="E185" s="1" t="str">
        <f>TEXT(Table1[[#This Row],[Date]],"MMM")</f>
        <v>Feb</v>
      </c>
      <c r="F185" s="1" t="str">
        <f>TEXT(Table1[[#This Row],[Date]],"yyyy")</f>
        <v>2023</v>
      </c>
      <c r="G185" t="s">
        <v>312</v>
      </c>
      <c r="H185" t="s">
        <v>315</v>
      </c>
      <c r="I185" t="s">
        <v>318</v>
      </c>
      <c r="J185">
        <v>3510.6</v>
      </c>
      <c r="K185">
        <v>10</v>
      </c>
      <c r="L185">
        <v>304.58999999999997</v>
      </c>
    </row>
    <row r="186" spans="3:12" x14ac:dyDescent="0.35">
      <c r="C186" t="s">
        <v>188</v>
      </c>
      <c r="D186" s="1">
        <v>45352</v>
      </c>
      <c r="E186" s="1" t="str">
        <f>TEXT(Table1[[#This Row],[Date]],"MMM")</f>
        <v>Mar</v>
      </c>
      <c r="F186" s="1" t="str">
        <f>TEXT(Table1[[#This Row],[Date]],"yyyy")</f>
        <v>2024</v>
      </c>
      <c r="G186" t="s">
        <v>312</v>
      </c>
      <c r="H186" t="s">
        <v>315</v>
      </c>
      <c r="I186" t="s">
        <v>319</v>
      </c>
      <c r="J186">
        <v>749.54</v>
      </c>
      <c r="K186">
        <v>3</v>
      </c>
      <c r="L186">
        <v>176.62</v>
      </c>
    </row>
    <row r="187" spans="3:12" x14ac:dyDescent="0.35">
      <c r="C187" t="s">
        <v>189</v>
      </c>
      <c r="D187" s="1">
        <v>45095</v>
      </c>
      <c r="E187" s="1" t="str">
        <f>TEXT(Table1[[#This Row],[Date]],"MMM")</f>
        <v>Jun</v>
      </c>
      <c r="F187" s="1" t="str">
        <f>TEXT(Table1[[#This Row],[Date]],"yyyy")</f>
        <v>2023</v>
      </c>
      <c r="G187" t="s">
        <v>312</v>
      </c>
      <c r="H187" t="s">
        <v>315</v>
      </c>
      <c r="I187" t="s">
        <v>319</v>
      </c>
      <c r="J187">
        <v>5415.38</v>
      </c>
      <c r="K187">
        <v>5</v>
      </c>
      <c r="L187">
        <v>732.96</v>
      </c>
    </row>
    <row r="188" spans="3:12" x14ac:dyDescent="0.35">
      <c r="C188" t="s">
        <v>190</v>
      </c>
      <c r="D188" s="1">
        <v>45044</v>
      </c>
      <c r="E188" s="1" t="str">
        <f>TEXT(Table1[[#This Row],[Date]],"MMM")</f>
        <v>Apr</v>
      </c>
      <c r="F188" s="1" t="str">
        <f>TEXT(Table1[[#This Row],[Date]],"yyyy")</f>
        <v>2023</v>
      </c>
      <c r="G188" t="s">
        <v>312</v>
      </c>
      <c r="H188" t="s">
        <v>315</v>
      </c>
      <c r="I188" t="s">
        <v>319</v>
      </c>
      <c r="J188">
        <v>7132.63</v>
      </c>
      <c r="K188">
        <v>8</v>
      </c>
      <c r="L188">
        <v>771.06</v>
      </c>
    </row>
    <row r="189" spans="3:12" x14ac:dyDescent="0.35">
      <c r="C189" t="s">
        <v>191</v>
      </c>
      <c r="D189" s="1">
        <v>45497</v>
      </c>
      <c r="E189" s="1" t="str">
        <f>TEXT(Table1[[#This Row],[Date]],"MMM")</f>
        <v>Jul</v>
      </c>
      <c r="F189" s="1" t="str">
        <f>TEXT(Table1[[#This Row],[Date]],"yyyy")</f>
        <v>2024</v>
      </c>
      <c r="G189" t="s">
        <v>310</v>
      </c>
      <c r="H189" t="s">
        <v>315</v>
      </c>
      <c r="I189" t="s">
        <v>318</v>
      </c>
      <c r="J189">
        <v>682.55</v>
      </c>
      <c r="K189">
        <v>6</v>
      </c>
      <c r="L189">
        <v>90.44</v>
      </c>
    </row>
    <row r="190" spans="3:12" x14ac:dyDescent="0.35">
      <c r="C190" t="s">
        <v>192</v>
      </c>
      <c r="D190" s="1">
        <v>45392</v>
      </c>
      <c r="E190" s="1" t="str">
        <f>TEXT(Table1[[#This Row],[Date]],"MMM")</f>
        <v>Apr</v>
      </c>
      <c r="F190" s="1" t="str">
        <f>TEXT(Table1[[#This Row],[Date]],"yyyy")</f>
        <v>2024</v>
      </c>
      <c r="G190" t="s">
        <v>312</v>
      </c>
      <c r="H190" t="s">
        <v>315</v>
      </c>
      <c r="I190" t="s">
        <v>316</v>
      </c>
      <c r="J190">
        <v>4474.8599999999997</v>
      </c>
      <c r="K190">
        <v>6</v>
      </c>
      <c r="L190">
        <v>544.80999999999995</v>
      </c>
    </row>
    <row r="191" spans="3:12" x14ac:dyDescent="0.35">
      <c r="C191" t="s">
        <v>193</v>
      </c>
      <c r="D191" s="1">
        <v>45580</v>
      </c>
      <c r="E191" s="1" t="str">
        <f>TEXT(Table1[[#This Row],[Date]],"MMM")</f>
        <v>Oct</v>
      </c>
      <c r="F191" s="1" t="str">
        <f>TEXT(Table1[[#This Row],[Date]],"yyyy")</f>
        <v>2024</v>
      </c>
      <c r="G191" t="s">
        <v>313</v>
      </c>
      <c r="H191" t="s">
        <v>315</v>
      </c>
      <c r="I191" t="s">
        <v>318</v>
      </c>
      <c r="J191">
        <v>748.41</v>
      </c>
      <c r="K191">
        <v>6</v>
      </c>
      <c r="L191">
        <v>104.51</v>
      </c>
    </row>
    <row r="192" spans="3:12" x14ac:dyDescent="0.35">
      <c r="C192" t="s">
        <v>194</v>
      </c>
      <c r="D192" s="1">
        <v>45551</v>
      </c>
      <c r="E192" s="1" t="str">
        <f>TEXT(Table1[[#This Row],[Date]],"MMM")</f>
        <v>Sept</v>
      </c>
      <c r="F192" s="1" t="str">
        <f>TEXT(Table1[[#This Row],[Date]],"yyyy")</f>
        <v>2024</v>
      </c>
      <c r="G192" t="s">
        <v>309</v>
      </c>
      <c r="H192" t="s">
        <v>314</v>
      </c>
      <c r="I192" t="s">
        <v>319</v>
      </c>
      <c r="J192">
        <v>2844.66</v>
      </c>
      <c r="K192">
        <v>4</v>
      </c>
      <c r="L192">
        <v>525.16999999999996</v>
      </c>
    </row>
    <row r="193" spans="3:12" x14ac:dyDescent="0.35">
      <c r="C193" t="s">
        <v>195</v>
      </c>
      <c r="D193" s="1">
        <v>45591</v>
      </c>
      <c r="E193" s="1" t="str">
        <f>TEXT(Table1[[#This Row],[Date]],"MMM")</f>
        <v>Oct</v>
      </c>
      <c r="F193" s="1" t="str">
        <f>TEXT(Table1[[#This Row],[Date]],"yyyy")</f>
        <v>2024</v>
      </c>
      <c r="G193" t="s">
        <v>311</v>
      </c>
      <c r="H193" t="s">
        <v>314</v>
      </c>
      <c r="I193" t="s">
        <v>319</v>
      </c>
      <c r="J193">
        <v>868.87</v>
      </c>
      <c r="K193">
        <v>7</v>
      </c>
      <c r="L193">
        <v>111.01</v>
      </c>
    </row>
    <row r="194" spans="3:12" x14ac:dyDescent="0.35">
      <c r="C194" t="s">
        <v>196</v>
      </c>
      <c r="D194" s="1">
        <v>45431</v>
      </c>
      <c r="E194" s="1" t="str">
        <f>TEXT(Table1[[#This Row],[Date]],"MMM")</f>
        <v>May</v>
      </c>
      <c r="F194" s="1" t="str">
        <f>TEXT(Table1[[#This Row],[Date]],"yyyy")</f>
        <v>2024</v>
      </c>
      <c r="G194" t="s">
        <v>309</v>
      </c>
      <c r="H194" t="s">
        <v>314</v>
      </c>
      <c r="I194" t="s">
        <v>319</v>
      </c>
      <c r="J194">
        <v>278.79000000000002</v>
      </c>
      <c r="K194">
        <v>2</v>
      </c>
      <c r="L194">
        <v>95.81</v>
      </c>
    </row>
    <row r="195" spans="3:12" x14ac:dyDescent="0.35">
      <c r="C195" t="s">
        <v>197</v>
      </c>
      <c r="D195" s="1">
        <v>45391</v>
      </c>
      <c r="E195" s="1" t="str">
        <f>TEXT(Table1[[#This Row],[Date]],"MMM")</f>
        <v>Apr</v>
      </c>
      <c r="F195" s="1" t="str">
        <f>TEXT(Table1[[#This Row],[Date]],"yyyy")</f>
        <v>2024</v>
      </c>
      <c r="G195" t="s">
        <v>310</v>
      </c>
      <c r="H195" t="s">
        <v>315</v>
      </c>
      <c r="I195" t="s">
        <v>318</v>
      </c>
      <c r="J195">
        <v>4552.09</v>
      </c>
      <c r="K195">
        <v>6</v>
      </c>
      <c r="L195">
        <v>542.98</v>
      </c>
    </row>
    <row r="196" spans="3:12" x14ac:dyDescent="0.35">
      <c r="C196" t="s">
        <v>198</v>
      </c>
      <c r="D196" s="1">
        <v>45528</v>
      </c>
      <c r="E196" s="1" t="str">
        <f>TEXT(Table1[[#This Row],[Date]],"MMM")</f>
        <v>Aug</v>
      </c>
      <c r="F196" s="1" t="str">
        <f>TEXT(Table1[[#This Row],[Date]],"yyyy")</f>
        <v>2024</v>
      </c>
      <c r="G196" t="s">
        <v>313</v>
      </c>
      <c r="H196" t="s">
        <v>315</v>
      </c>
      <c r="I196" t="s">
        <v>318</v>
      </c>
      <c r="J196">
        <v>2903.53</v>
      </c>
      <c r="K196">
        <v>3</v>
      </c>
      <c r="L196">
        <v>710.62</v>
      </c>
    </row>
    <row r="197" spans="3:12" x14ac:dyDescent="0.35">
      <c r="C197" t="s">
        <v>199</v>
      </c>
      <c r="D197" s="1">
        <v>45213</v>
      </c>
      <c r="E197" s="1" t="str">
        <f>TEXT(Table1[[#This Row],[Date]],"MMM")</f>
        <v>Oct</v>
      </c>
      <c r="F197" s="1" t="str">
        <f>TEXT(Table1[[#This Row],[Date]],"yyyy")</f>
        <v>2023</v>
      </c>
      <c r="G197" t="s">
        <v>311</v>
      </c>
      <c r="H197" t="s">
        <v>314</v>
      </c>
      <c r="I197" t="s">
        <v>318</v>
      </c>
      <c r="J197">
        <v>662.79</v>
      </c>
      <c r="K197">
        <v>1</v>
      </c>
      <c r="L197">
        <v>558.41999999999996</v>
      </c>
    </row>
    <row r="198" spans="3:12" x14ac:dyDescent="0.35">
      <c r="C198" t="s">
        <v>200</v>
      </c>
      <c r="D198" s="1">
        <v>45298</v>
      </c>
      <c r="E198" s="1" t="str">
        <f>TEXT(Table1[[#This Row],[Date]],"MMM")</f>
        <v>Jan</v>
      </c>
      <c r="F198" s="1" t="str">
        <f>TEXT(Table1[[#This Row],[Date]],"yyyy")</f>
        <v>2024</v>
      </c>
      <c r="G198" t="s">
        <v>311</v>
      </c>
      <c r="H198" t="s">
        <v>314</v>
      </c>
      <c r="I198" t="s">
        <v>317</v>
      </c>
      <c r="J198">
        <v>1957.99</v>
      </c>
      <c r="K198">
        <v>2</v>
      </c>
      <c r="L198">
        <v>785.12</v>
      </c>
    </row>
    <row r="199" spans="3:12" x14ac:dyDescent="0.35">
      <c r="C199" t="s">
        <v>201</v>
      </c>
      <c r="D199" s="1">
        <v>44989</v>
      </c>
      <c r="E199" s="1" t="str">
        <f>TEXT(Table1[[#This Row],[Date]],"MMM")</f>
        <v>Mar</v>
      </c>
      <c r="F199" s="1" t="str">
        <f>TEXT(Table1[[#This Row],[Date]],"yyyy")</f>
        <v>2023</v>
      </c>
      <c r="G199" t="s">
        <v>308</v>
      </c>
      <c r="H199" t="s">
        <v>314</v>
      </c>
      <c r="I199" t="s">
        <v>319</v>
      </c>
      <c r="J199">
        <v>2448.56</v>
      </c>
      <c r="K199">
        <v>7</v>
      </c>
      <c r="L199">
        <v>235.19</v>
      </c>
    </row>
    <row r="200" spans="3:12" x14ac:dyDescent="0.35">
      <c r="C200" t="s">
        <v>202</v>
      </c>
      <c r="D200" s="1">
        <v>45605</v>
      </c>
      <c r="E200" s="1" t="str">
        <f>TEXT(Table1[[#This Row],[Date]],"MMM")</f>
        <v>Nov</v>
      </c>
      <c r="F200" s="1" t="str">
        <f>TEXT(Table1[[#This Row],[Date]],"yyyy")</f>
        <v>2024</v>
      </c>
      <c r="G200" t="s">
        <v>311</v>
      </c>
      <c r="H200" t="s">
        <v>314</v>
      </c>
      <c r="I200" t="s">
        <v>316</v>
      </c>
      <c r="J200">
        <v>2787.66</v>
      </c>
      <c r="K200">
        <v>4</v>
      </c>
      <c r="L200">
        <v>520.53</v>
      </c>
    </row>
    <row r="201" spans="3:12" x14ac:dyDescent="0.35">
      <c r="C201" t="s">
        <v>203</v>
      </c>
      <c r="D201" s="1">
        <v>45268</v>
      </c>
      <c r="E201" s="1" t="str">
        <f>TEXT(Table1[[#This Row],[Date]],"MMM")</f>
        <v>Dec</v>
      </c>
      <c r="F201" s="1" t="str">
        <f>TEXT(Table1[[#This Row],[Date]],"yyyy")</f>
        <v>2023</v>
      </c>
      <c r="G201" t="s">
        <v>309</v>
      </c>
      <c r="H201" t="s">
        <v>314</v>
      </c>
      <c r="I201" t="s">
        <v>316</v>
      </c>
      <c r="J201">
        <v>4477.9799999999996</v>
      </c>
      <c r="K201">
        <v>4</v>
      </c>
      <c r="L201">
        <v>791.28</v>
      </c>
    </row>
    <row r="202" spans="3:12" x14ac:dyDescent="0.35">
      <c r="C202" t="s">
        <v>204</v>
      </c>
      <c r="D202" s="1">
        <v>45494</v>
      </c>
      <c r="E202" s="1" t="str">
        <f>TEXT(Table1[[#This Row],[Date]],"MMM")</f>
        <v>Jul</v>
      </c>
      <c r="F202" s="1" t="str">
        <f>TEXT(Table1[[#This Row],[Date]],"yyyy")</f>
        <v>2024</v>
      </c>
      <c r="G202" t="s">
        <v>310</v>
      </c>
      <c r="H202" t="s">
        <v>315</v>
      </c>
      <c r="I202" t="s">
        <v>316</v>
      </c>
      <c r="J202">
        <v>2721.49</v>
      </c>
      <c r="K202">
        <v>4</v>
      </c>
      <c r="L202">
        <v>477.38</v>
      </c>
    </row>
    <row r="203" spans="3:12" x14ac:dyDescent="0.35">
      <c r="C203" t="s">
        <v>205</v>
      </c>
      <c r="D203" s="1">
        <v>45078</v>
      </c>
      <c r="E203" s="1" t="str">
        <f>TEXT(Table1[[#This Row],[Date]],"MMM")</f>
        <v>Jun</v>
      </c>
      <c r="F203" s="1" t="str">
        <f>TEXT(Table1[[#This Row],[Date]],"yyyy")</f>
        <v>2023</v>
      </c>
      <c r="G203" t="s">
        <v>310</v>
      </c>
      <c r="H203" t="s">
        <v>315</v>
      </c>
      <c r="I203" t="s">
        <v>319</v>
      </c>
      <c r="J203">
        <v>320.57</v>
      </c>
      <c r="K203">
        <v>10</v>
      </c>
      <c r="L203">
        <v>22.21</v>
      </c>
    </row>
    <row r="204" spans="3:12" x14ac:dyDescent="0.35">
      <c r="C204" t="s">
        <v>206</v>
      </c>
      <c r="D204" s="1">
        <v>45480</v>
      </c>
      <c r="E204" s="1" t="str">
        <f>TEXT(Table1[[#This Row],[Date]],"MMM")</f>
        <v>Jul</v>
      </c>
      <c r="F204" s="1" t="str">
        <f>TEXT(Table1[[#This Row],[Date]],"yyyy")</f>
        <v>2024</v>
      </c>
      <c r="G204" t="s">
        <v>310</v>
      </c>
      <c r="H204" t="s">
        <v>315</v>
      </c>
      <c r="I204" t="s">
        <v>317</v>
      </c>
      <c r="J204">
        <v>3676.95</v>
      </c>
      <c r="K204">
        <v>5</v>
      </c>
      <c r="L204">
        <v>642.84</v>
      </c>
    </row>
    <row r="205" spans="3:12" x14ac:dyDescent="0.35">
      <c r="C205" t="s">
        <v>207</v>
      </c>
      <c r="D205" s="1">
        <v>44942</v>
      </c>
      <c r="E205" s="1" t="str">
        <f>TEXT(Table1[[#This Row],[Date]],"MMM")</f>
        <v>Jan</v>
      </c>
      <c r="F205" s="1" t="str">
        <f>TEXT(Table1[[#This Row],[Date]],"yyyy")</f>
        <v>2023</v>
      </c>
      <c r="G205" t="s">
        <v>309</v>
      </c>
      <c r="H205" t="s">
        <v>314</v>
      </c>
      <c r="I205" t="s">
        <v>317</v>
      </c>
      <c r="J205">
        <v>4562.1400000000003</v>
      </c>
      <c r="K205">
        <v>6</v>
      </c>
      <c r="L205">
        <v>636.19000000000005</v>
      </c>
    </row>
    <row r="206" spans="3:12" x14ac:dyDescent="0.35">
      <c r="C206" t="s">
        <v>208</v>
      </c>
      <c r="D206" s="1">
        <v>45105</v>
      </c>
      <c r="E206" s="1" t="str">
        <f>TEXT(Table1[[#This Row],[Date]],"MMM")</f>
        <v>Jun</v>
      </c>
      <c r="F206" s="1" t="str">
        <f>TEXT(Table1[[#This Row],[Date]],"yyyy")</f>
        <v>2023</v>
      </c>
      <c r="G206" t="s">
        <v>312</v>
      </c>
      <c r="H206" t="s">
        <v>315</v>
      </c>
      <c r="I206" t="s">
        <v>316</v>
      </c>
      <c r="J206">
        <v>425.08</v>
      </c>
      <c r="K206">
        <v>5</v>
      </c>
      <c r="L206">
        <v>60.87</v>
      </c>
    </row>
    <row r="207" spans="3:12" x14ac:dyDescent="0.35">
      <c r="C207" t="s">
        <v>209</v>
      </c>
      <c r="D207" s="1">
        <v>44992</v>
      </c>
      <c r="E207" s="1" t="str">
        <f>TEXT(Table1[[#This Row],[Date]],"MMM")</f>
        <v>Mar</v>
      </c>
      <c r="F207" s="1" t="str">
        <f>TEXT(Table1[[#This Row],[Date]],"yyyy")</f>
        <v>2023</v>
      </c>
      <c r="G207" t="s">
        <v>313</v>
      </c>
      <c r="H207" t="s">
        <v>315</v>
      </c>
      <c r="I207" t="s">
        <v>316</v>
      </c>
      <c r="J207">
        <v>3681.17</v>
      </c>
      <c r="K207">
        <v>8</v>
      </c>
      <c r="L207">
        <v>369.65</v>
      </c>
    </row>
    <row r="208" spans="3:12" x14ac:dyDescent="0.35">
      <c r="C208" t="s">
        <v>210</v>
      </c>
      <c r="D208" s="1">
        <v>45389</v>
      </c>
      <c r="E208" s="1" t="str">
        <f>TEXT(Table1[[#This Row],[Date]],"MMM")</f>
        <v>Apr</v>
      </c>
      <c r="F208" s="1" t="str">
        <f>TEXT(Table1[[#This Row],[Date]],"yyyy")</f>
        <v>2024</v>
      </c>
      <c r="G208" t="s">
        <v>313</v>
      </c>
      <c r="H208" t="s">
        <v>315</v>
      </c>
      <c r="I208" t="s">
        <v>316</v>
      </c>
      <c r="J208">
        <v>2335.77</v>
      </c>
      <c r="K208">
        <v>9</v>
      </c>
      <c r="L208">
        <v>192.81</v>
      </c>
    </row>
    <row r="209" spans="3:12" x14ac:dyDescent="0.35">
      <c r="C209" t="s">
        <v>211</v>
      </c>
      <c r="D209" s="1">
        <v>45396</v>
      </c>
      <c r="E209" s="1" t="str">
        <f>TEXT(Table1[[#This Row],[Date]],"MMM")</f>
        <v>Apr</v>
      </c>
      <c r="F209" s="1" t="str">
        <f>TEXT(Table1[[#This Row],[Date]],"yyyy")</f>
        <v>2024</v>
      </c>
      <c r="G209" t="s">
        <v>308</v>
      </c>
      <c r="H209" t="s">
        <v>314</v>
      </c>
      <c r="I209" t="s">
        <v>319</v>
      </c>
      <c r="J209">
        <v>87.11</v>
      </c>
      <c r="K209">
        <v>1</v>
      </c>
      <c r="L209">
        <v>67.44</v>
      </c>
    </row>
    <row r="210" spans="3:12" x14ac:dyDescent="0.35">
      <c r="C210" t="s">
        <v>212</v>
      </c>
      <c r="D210" s="1">
        <v>45629</v>
      </c>
      <c r="E210" s="1" t="str">
        <f>TEXT(Table1[[#This Row],[Date]],"MMM")</f>
        <v>Dec</v>
      </c>
      <c r="F210" s="1" t="str">
        <f>TEXT(Table1[[#This Row],[Date]],"yyyy")</f>
        <v>2024</v>
      </c>
      <c r="G210" t="s">
        <v>311</v>
      </c>
      <c r="H210" t="s">
        <v>314</v>
      </c>
      <c r="I210" t="s">
        <v>318</v>
      </c>
      <c r="J210">
        <v>1178.1600000000001</v>
      </c>
      <c r="K210">
        <v>2</v>
      </c>
      <c r="L210">
        <v>402.41</v>
      </c>
    </row>
    <row r="211" spans="3:12" x14ac:dyDescent="0.35">
      <c r="C211" t="s">
        <v>213</v>
      </c>
      <c r="D211" s="1">
        <v>45256</v>
      </c>
      <c r="E211" s="1" t="str">
        <f>TEXT(Table1[[#This Row],[Date]],"MMM")</f>
        <v>Nov</v>
      </c>
      <c r="F211" s="1" t="str">
        <f>TEXT(Table1[[#This Row],[Date]],"yyyy")</f>
        <v>2023</v>
      </c>
      <c r="G211" t="s">
        <v>309</v>
      </c>
      <c r="H211" t="s">
        <v>314</v>
      </c>
      <c r="I211" t="s">
        <v>316</v>
      </c>
      <c r="J211">
        <v>1561.2</v>
      </c>
      <c r="K211">
        <v>10</v>
      </c>
      <c r="L211">
        <v>135.69999999999999</v>
      </c>
    </row>
    <row r="212" spans="3:12" x14ac:dyDescent="0.35">
      <c r="C212" t="s">
        <v>214</v>
      </c>
      <c r="D212" s="1">
        <v>45317</v>
      </c>
      <c r="E212" s="1" t="str">
        <f>TEXT(Table1[[#This Row],[Date]],"MMM")</f>
        <v>Jan</v>
      </c>
      <c r="F212" s="1" t="str">
        <f>TEXT(Table1[[#This Row],[Date]],"yyyy")</f>
        <v>2024</v>
      </c>
      <c r="G212" t="s">
        <v>313</v>
      </c>
      <c r="H212" t="s">
        <v>315</v>
      </c>
      <c r="I212" t="s">
        <v>319</v>
      </c>
      <c r="J212">
        <v>5559.47</v>
      </c>
      <c r="K212">
        <v>10</v>
      </c>
      <c r="L212">
        <v>433.83</v>
      </c>
    </row>
    <row r="213" spans="3:12" x14ac:dyDescent="0.35">
      <c r="C213" t="s">
        <v>215</v>
      </c>
      <c r="D213" s="1">
        <v>45028</v>
      </c>
      <c r="E213" s="1" t="str">
        <f>TEXT(Table1[[#This Row],[Date]],"MMM")</f>
        <v>Apr</v>
      </c>
      <c r="F213" s="1" t="str">
        <f>TEXT(Table1[[#This Row],[Date]],"yyyy")</f>
        <v>2023</v>
      </c>
      <c r="G213" t="s">
        <v>313</v>
      </c>
      <c r="H213" t="s">
        <v>315</v>
      </c>
      <c r="I213" t="s">
        <v>318</v>
      </c>
      <c r="J213">
        <v>1864.19</v>
      </c>
      <c r="K213">
        <v>2</v>
      </c>
      <c r="L213">
        <v>685.18</v>
      </c>
    </row>
    <row r="214" spans="3:12" x14ac:dyDescent="0.35">
      <c r="C214" t="s">
        <v>216</v>
      </c>
      <c r="D214" s="1">
        <v>45367</v>
      </c>
      <c r="E214" s="1" t="str">
        <f>TEXT(Table1[[#This Row],[Date]],"MMM")</f>
        <v>Mar</v>
      </c>
      <c r="F214" s="1" t="str">
        <f>TEXT(Table1[[#This Row],[Date]],"yyyy")</f>
        <v>2024</v>
      </c>
      <c r="G214" t="s">
        <v>313</v>
      </c>
      <c r="H214" t="s">
        <v>315</v>
      </c>
      <c r="I214" t="s">
        <v>317</v>
      </c>
      <c r="J214">
        <v>7215.62</v>
      </c>
      <c r="K214">
        <v>8</v>
      </c>
      <c r="L214">
        <v>712.71</v>
      </c>
    </row>
    <row r="215" spans="3:12" x14ac:dyDescent="0.35">
      <c r="C215" t="s">
        <v>217</v>
      </c>
      <c r="D215" s="1">
        <v>45352</v>
      </c>
      <c r="E215" s="1" t="str">
        <f>TEXT(Table1[[#This Row],[Date]],"MMM")</f>
        <v>Mar</v>
      </c>
      <c r="F215" s="1" t="str">
        <f>TEXT(Table1[[#This Row],[Date]],"yyyy")</f>
        <v>2024</v>
      </c>
      <c r="G215" t="s">
        <v>311</v>
      </c>
      <c r="H215" t="s">
        <v>314</v>
      </c>
      <c r="I215" t="s">
        <v>318</v>
      </c>
      <c r="J215">
        <v>646.29</v>
      </c>
      <c r="K215">
        <v>2</v>
      </c>
      <c r="L215">
        <v>263.79000000000002</v>
      </c>
    </row>
    <row r="216" spans="3:12" x14ac:dyDescent="0.35">
      <c r="C216" t="s">
        <v>218</v>
      </c>
      <c r="D216" s="1">
        <v>45083</v>
      </c>
      <c r="E216" s="1" t="str">
        <f>TEXT(Table1[[#This Row],[Date]],"MMM")</f>
        <v>Jun</v>
      </c>
      <c r="F216" s="1" t="str">
        <f>TEXT(Table1[[#This Row],[Date]],"yyyy")</f>
        <v>2023</v>
      </c>
      <c r="G216" t="s">
        <v>312</v>
      </c>
      <c r="H216" t="s">
        <v>315</v>
      </c>
      <c r="I216" t="s">
        <v>319</v>
      </c>
      <c r="J216">
        <v>829.37</v>
      </c>
      <c r="K216">
        <v>8</v>
      </c>
      <c r="L216">
        <v>72.36</v>
      </c>
    </row>
    <row r="217" spans="3:12" x14ac:dyDescent="0.35">
      <c r="C217" t="s">
        <v>219</v>
      </c>
      <c r="D217" s="1">
        <v>45025</v>
      </c>
      <c r="E217" s="1" t="str">
        <f>TEXT(Table1[[#This Row],[Date]],"MMM")</f>
        <v>Apr</v>
      </c>
      <c r="F217" s="1" t="str">
        <f>TEXT(Table1[[#This Row],[Date]],"yyyy")</f>
        <v>2023</v>
      </c>
      <c r="G217" t="s">
        <v>309</v>
      </c>
      <c r="H217" t="s">
        <v>314</v>
      </c>
      <c r="I217" t="s">
        <v>318</v>
      </c>
      <c r="J217">
        <v>5183.17</v>
      </c>
      <c r="K217">
        <v>6</v>
      </c>
      <c r="L217">
        <v>653.17999999999995</v>
      </c>
    </row>
    <row r="218" spans="3:12" x14ac:dyDescent="0.35">
      <c r="C218" t="s">
        <v>220</v>
      </c>
      <c r="D218" s="1">
        <v>45613</v>
      </c>
      <c r="E218" s="1" t="str">
        <f>TEXT(Table1[[#This Row],[Date]],"MMM")</f>
        <v>Nov</v>
      </c>
      <c r="F218" s="1" t="str">
        <f>TEXT(Table1[[#This Row],[Date]],"yyyy")</f>
        <v>2024</v>
      </c>
      <c r="G218" t="s">
        <v>313</v>
      </c>
      <c r="H218" t="s">
        <v>315</v>
      </c>
      <c r="I218" t="s">
        <v>319</v>
      </c>
      <c r="J218">
        <v>986.87</v>
      </c>
      <c r="K218">
        <v>2</v>
      </c>
      <c r="L218">
        <v>340.43</v>
      </c>
    </row>
    <row r="219" spans="3:12" x14ac:dyDescent="0.35">
      <c r="C219" t="s">
        <v>221</v>
      </c>
      <c r="D219" s="1">
        <v>45221</v>
      </c>
      <c r="E219" s="1" t="str">
        <f>TEXT(Table1[[#This Row],[Date]],"MMM")</f>
        <v>Oct</v>
      </c>
      <c r="F219" s="1" t="str">
        <f>TEXT(Table1[[#This Row],[Date]],"yyyy")</f>
        <v>2023</v>
      </c>
      <c r="G219" t="s">
        <v>311</v>
      </c>
      <c r="H219" t="s">
        <v>314</v>
      </c>
      <c r="I219" t="s">
        <v>316</v>
      </c>
      <c r="J219">
        <v>3010.09</v>
      </c>
      <c r="K219">
        <v>10</v>
      </c>
      <c r="L219">
        <v>263.70999999999998</v>
      </c>
    </row>
    <row r="220" spans="3:12" x14ac:dyDescent="0.35">
      <c r="C220" t="s">
        <v>222</v>
      </c>
      <c r="D220" s="1">
        <v>45085</v>
      </c>
      <c r="E220" s="1" t="str">
        <f>TEXT(Table1[[#This Row],[Date]],"MMM")</f>
        <v>Jun</v>
      </c>
      <c r="F220" s="1" t="str">
        <f>TEXT(Table1[[#This Row],[Date]],"yyyy")</f>
        <v>2023</v>
      </c>
      <c r="G220" t="s">
        <v>313</v>
      </c>
      <c r="H220" t="s">
        <v>315</v>
      </c>
      <c r="I220" t="s">
        <v>317</v>
      </c>
      <c r="J220">
        <v>1782.71</v>
      </c>
      <c r="K220">
        <v>8</v>
      </c>
      <c r="L220">
        <v>194.91</v>
      </c>
    </row>
    <row r="221" spans="3:12" x14ac:dyDescent="0.35">
      <c r="C221" t="s">
        <v>223</v>
      </c>
      <c r="D221" s="1">
        <v>45044</v>
      </c>
      <c r="E221" s="1" t="str">
        <f>TEXT(Table1[[#This Row],[Date]],"MMM")</f>
        <v>Apr</v>
      </c>
      <c r="F221" s="1" t="str">
        <f>TEXT(Table1[[#This Row],[Date]],"yyyy")</f>
        <v>2023</v>
      </c>
      <c r="G221" t="s">
        <v>313</v>
      </c>
      <c r="H221" t="s">
        <v>315</v>
      </c>
      <c r="I221" t="s">
        <v>319</v>
      </c>
      <c r="J221">
        <v>3328.14</v>
      </c>
      <c r="K221">
        <v>5</v>
      </c>
      <c r="L221">
        <v>467.8</v>
      </c>
    </row>
    <row r="222" spans="3:12" x14ac:dyDescent="0.35">
      <c r="C222" t="s">
        <v>224</v>
      </c>
      <c r="D222" s="1">
        <v>45550</v>
      </c>
      <c r="E222" s="1" t="str">
        <f>TEXT(Table1[[#This Row],[Date]],"MMM")</f>
        <v>Sept</v>
      </c>
      <c r="F222" s="1" t="str">
        <f>TEXT(Table1[[#This Row],[Date]],"yyyy")</f>
        <v>2024</v>
      </c>
      <c r="G222" t="s">
        <v>313</v>
      </c>
      <c r="H222" t="s">
        <v>315</v>
      </c>
      <c r="I222" t="s">
        <v>316</v>
      </c>
      <c r="J222">
        <v>257.45999999999998</v>
      </c>
      <c r="K222">
        <v>5</v>
      </c>
      <c r="L222">
        <v>42.58</v>
      </c>
    </row>
    <row r="223" spans="3:12" x14ac:dyDescent="0.35">
      <c r="C223" t="s">
        <v>225</v>
      </c>
      <c r="D223" s="1">
        <v>45286</v>
      </c>
      <c r="E223" s="1" t="str">
        <f>TEXT(Table1[[#This Row],[Date]],"MMM")</f>
        <v>Dec</v>
      </c>
      <c r="F223" s="1" t="str">
        <f>TEXT(Table1[[#This Row],[Date]],"yyyy")</f>
        <v>2023</v>
      </c>
      <c r="G223" t="s">
        <v>312</v>
      </c>
      <c r="H223" t="s">
        <v>315</v>
      </c>
      <c r="I223" t="s">
        <v>319</v>
      </c>
      <c r="J223">
        <v>186.9</v>
      </c>
      <c r="K223">
        <v>1</v>
      </c>
      <c r="L223">
        <v>161.5</v>
      </c>
    </row>
    <row r="224" spans="3:12" x14ac:dyDescent="0.35">
      <c r="C224" t="s">
        <v>226</v>
      </c>
      <c r="D224" s="1">
        <v>44998</v>
      </c>
      <c r="E224" s="1" t="str">
        <f>TEXT(Table1[[#This Row],[Date]],"MMM")</f>
        <v>Mar</v>
      </c>
      <c r="F224" s="1" t="str">
        <f>TEXT(Table1[[#This Row],[Date]],"yyyy")</f>
        <v>2023</v>
      </c>
      <c r="G224" t="s">
        <v>308</v>
      </c>
      <c r="H224" t="s">
        <v>314</v>
      </c>
      <c r="I224" t="s">
        <v>318</v>
      </c>
      <c r="J224">
        <v>2670.59</v>
      </c>
      <c r="K224">
        <v>3</v>
      </c>
      <c r="L224">
        <v>597.96</v>
      </c>
    </row>
    <row r="225" spans="3:12" x14ac:dyDescent="0.35">
      <c r="C225" t="s">
        <v>227</v>
      </c>
      <c r="D225" s="1">
        <v>45312</v>
      </c>
      <c r="E225" s="1" t="str">
        <f>TEXT(Table1[[#This Row],[Date]],"MMM")</f>
        <v>Jan</v>
      </c>
      <c r="F225" s="1" t="str">
        <f>TEXT(Table1[[#This Row],[Date]],"yyyy")</f>
        <v>2024</v>
      </c>
      <c r="G225" t="s">
        <v>309</v>
      </c>
      <c r="H225" t="s">
        <v>314</v>
      </c>
      <c r="I225" t="s">
        <v>317</v>
      </c>
      <c r="J225">
        <v>3043.34</v>
      </c>
      <c r="K225">
        <v>7</v>
      </c>
      <c r="L225">
        <v>373.84</v>
      </c>
    </row>
    <row r="226" spans="3:12" x14ac:dyDescent="0.35">
      <c r="C226" t="s">
        <v>228</v>
      </c>
      <c r="D226" s="1">
        <v>45508</v>
      </c>
      <c r="E226" s="1" t="str">
        <f>TEXT(Table1[[#This Row],[Date]],"MMM")</f>
        <v>Aug</v>
      </c>
      <c r="F226" s="1" t="str">
        <f>TEXT(Table1[[#This Row],[Date]],"yyyy")</f>
        <v>2024</v>
      </c>
      <c r="G226" t="s">
        <v>312</v>
      </c>
      <c r="H226" t="s">
        <v>315</v>
      </c>
      <c r="I226" t="s">
        <v>319</v>
      </c>
      <c r="J226">
        <v>967.12</v>
      </c>
      <c r="K226">
        <v>10</v>
      </c>
      <c r="L226">
        <v>86.27</v>
      </c>
    </row>
    <row r="227" spans="3:12" x14ac:dyDescent="0.35">
      <c r="C227" t="s">
        <v>229</v>
      </c>
      <c r="D227" s="1">
        <v>45617</v>
      </c>
      <c r="E227" s="1" t="str">
        <f>TEXT(Table1[[#This Row],[Date]],"MMM")</f>
        <v>Nov</v>
      </c>
      <c r="F227" s="1" t="str">
        <f>TEXT(Table1[[#This Row],[Date]],"yyyy")</f>
        <v>2024</v>
      </c>
      <c r="G227" t="s">
        <v>310</v>
      </c>
      <c r="H227" t="s">
        <v>315</v>
      </c>
      <c r="I227" t="s">
        <v>316</v>
      </c>
      <c r="J227">
        <v>633.91</v>
      </c>
      <c r="K227">
        <v>2</v>
      </c>
      <c r="L227">
        <v>232.24</v>
      </c>
    </row>
    <row r="228" spans="3:12" x14ac:dyDescent="0.35">
      <c r="C228" t="s">
        <v>230</v>
      </c>
      <c r="D228" s="1">
        <v>45351</v>
      </c>
      <c r="E228" s="1" t="str">
        <f>TEXT(Table1[[#This Row],[Date]],"MMM")</f>
        <v>Feb</v>
      </c>
      <c r="F228" s="1" t="str">
        <f>TEXT(Table1[[#This Row],[Date]],"yyyy")</f>
        <v>2024</v>
      </c>
      <c r="G228" t="s">
        <v>311</v>
      </c>
      <c r="H228" t="s">
        <v>314</v>
      </c>
      <c r="I228" t="s">
        <v>318</v>
      </c>
      <c r="J228">
        <v>1227.56</v>
      </c>
      <c r="K228">
        <v>5</v>
      </c>
      <c r="L228">
        <v>188.14</v>
      </c>
    </row>
    <row r="229" spans="3:12" x14ac:dyDescent="0.35">
      <c r="C229" t="s">
        <v>231</v>
      </c>
      <c r="D229" s="1">
        <v>45040</v>
      </c>
      <c r="E229" s="1" t="str">
        <f>TEXT(Table1[[#This Row],[Date]],"MMM")</f>
        <v>Apr</v>
      </c>
      <c r="F229" s="1" t="str">
        <f>TEXT(Table1[[#This Row],[Date]],"yyyy")</f>
        <v>2023</v>
      </c>
      <c r="G229" t="s">
        <v>312</v>
      </c>
      <c r="H229" t="s">
        <v>315</v>
      </c>
      <c r="I229" t="s">
        <v>318</v>
      </c>
      <c r="J229">
        <v>3670.83</v>
      </c>
      <c r="K229">
        <v>5</v>
      </c>
      <c r="L229">
        <v>549.01</v>
      </c>
    </row>
    <row r="230" spans="3:12" x14ac:dyDescent="0.35">
      <c r="C230" t="s">
        <v>232</v>
      </c>
      <c r="D230" s="1">
        <v>44973</v>
      </c>
      <c r="E230" s="1" t="str">
        <f>TEXT(Table1[[#This Row],[Date]],"MMM")</f>
        <v>Feb</v>
      </c>
      <c r="F230" s="1" t="str">
        <f>TEXT(Table1[[#This Row],[Date]],"yyyy")</f>
        <v>2023</v>
      </c>
      <c r="G230" t="s">
        <v>313</v>
      </c>
      <c r="H230" t="s">
        <v>315</v>
      </c>
      <c r="I230" t="s">
        <v>319</v>
      </c>
      <c r="J230">
        <v>1759.39</v>
      </c>
      <c r="K230">
        <v>4</v>
      </c>
      <c r="L230">
        <v>328.31</v>
      </c>
    </row>
    <row r="231" spans="3:12" x14ac:dyDescent="0.35">
      <c r="C231" t="s">
        <v>233</v>
      </c>
      <c r="D231" s="1">
        <v>45235</v>
      </c>
      <c r="E231" s="1" t="str">
        <f>TEXT(Table1[[#This Row],[Date]],"MMM")</f>
        <v>Nov</v>
      </c>
      <c r="F231" s="1" t="str">
        <f>TEXT(Table1[[#This Row],[Date]],"yyyy")</f>
        <v>2023</v>
      </c>
      <c r="G231" t="s">
        <v>309</v>
      </c>
      <c r="H231" t="s">
        <v>314</v>
      </c>
      <c r="I231" t="s">
        <v>317</v>
      </c>
      <c r="J231">
        <v>3477.78</v>
      </c>
      <c r="K231">
        <v>4</v>
      </c>
      <c r="L231">
        <v>618.53</v>
      </c>
    </row>
    <row r="232" spans="3:12" x14ac:dyDescent="0.35">
      <c r="C232" t="s">
        <v>234</v>
      </c>
      <c r="D232" s="1">
        <v>45049</v>
      </c>
      <c r="E232" s="1" t="str">
        <f>TEXT(Table1[[#This Row],[Date]],"MMM")</f>
        <v>May</v>
      </c>
      <c r="F232" s="1" t="str">
        <f>TEXT(Table1[[#This Row],[Date]],"yyyy")</f>
        <v>2023</v>
      </c>
      <c r="G232" t="s">
        <v>312</v>
      </c>
      <c r="H232" t="s">
        <v>315</v>
      </c>
      <c r="I232" t="s">
        <v>319</v>
      </c>
      <c r="J232">
        <v>519.03</v>
      </c>
      <c r="K232">
        <v>1</v>
      </c>
      <c r="L232">
        <v>407.96</v>
      </c>
    </row>
    <row r="233" spans="3:12" x14ac:dyDescent="0.35">
      <c r="C233" t="s">
        <v>235</v>
      </c>
      <c r="D233" s="1">
        <v>45472</v>
      </c>
      <c r="E233" s="1" t="str">
        <f>TEXT(Table1[[#This Row],[Date]],"MMM")</f>
        <v>Jun</v>
      </c>
      <c r="F233" s="1" t="str">
        <f>TEXT(Table1[[#This Row],[Date]],"yyyy")</f>
        <v>2024</v>
      </c>
      <c r="G233" t="s">
        <v>310</v>
      </c>
      <c r="H233" t="s">
        <v>315</v>
      </c>
      <c r="I233" t="s">
        <v>318</v>
      </c>
      <c r="J233">
        <v>2351.83</v>
      </c>
      <c r="K233">
        <v>4</v>
      </c>
      <c r="L233">
        <v>410.2</v>
      </c>
    </row>
    <row r="234" spans="3:12" x14ac:dyDescent="0.35">
      <c r="C234" t="s">
        <v>236</v>
      </c>
      <c r="D234" s="1">
        <v>45333</v>
      </c>
      <c r="E234" s="1" t="str">
        <f>TEXT(Table1[[#This Row],[Date]],"MMM")</f>
        <v>Feb</v>
      </c>
      <c r="F234" s="1" t="str">
        <f>TEXT(Table1[[#This Row],[Date]],"yyyy")</f>
        <v>2024</v>
      </c>
      <c r="G234" t="s">
        <v>312</v>
      </c>
      <c r="H234" t="s">
        <v>315</v>
      </c>
      <c r="I234" t="s">
        <v>316</v>
      </c>
      <c r="J234">
        <v>462.53</v>
      </c>
      <c r="K234">
        <v>1</v>
      </c>
      <c r="L234">
        <v>360.25</v>
      </c>
    </row>
    <row r="235" spans="3:12" x14ac:dyDescent="0.35">
      <c r="C235" t="s">
        <v>237</v>
      </c>
      <c r="D235" s="1">
        <v>45516</v>
      </c>
      <c r="E235" s="1" t="str">
        <f>TEXT(Table1[[#This Row],[Date]],"MMM")</f>
        <v>Aug</v>
      </c>
      <c r="F235" s="1" t="str">
        <f>TEXT(Table1[[#This Row],[Date]],"yyyy")</f>
        <v>2024</v>
      </c>
      <c r="G235" t="s">
        <v>309</v>
      </c>
      <c r="H235" t="s">
        <v>314</v>
      </c>
      <c r="I235" t="s">
        <v>319</v>
      </c>
      <c r="J235">
        <v>4526.0600000000004</v>
      </c>
      <c r="K235">
        <v>7</v>
      </c>
      <c r="L235">
        <v>467.25</v>
      </c>
    </row>
    <row r="236" spans="3:12" x14ac:dyDescent="0.35">
      <c r="C236" t="s">
        <v>238</v>
      </c>
      <c r="D236" s="1">
        <v>45044</v>
      </c>
      <c r="E236" s="1" t="str">
        <f>TEXT(Table1[[#This Row],[Date]],"MMM")</f>
        <v>Apr</v>
      </c>
      <c r="F236" s="1" t="str">
        <f>TEXT(Table1[[#This Row],[Date]],"yyyy")</f>
        <v>2023</v>
      </c>
      <c r="G236" t="s">
        <v>311</v>
      </c>
      <c r="H236" t="s">
        <v>314</v>
      </c>
      <c r="I236" t="s">
        <v>319</v>
      </c>
      <c r="J236">
        <v>312.26</v>
      </c>
      <c r="K236">
        <v>7</v>
      </c>
      <c r="L236">
        <v>36.270000000000003</v>
      </c>
    </row>
    <row r="237" spans="3:12" x14ac:dyDescent="0.35">
      <c r="C237" t="s">
        <v>239</v>
      </c>
      <c r="D237" s="1">
        <v>45633</v>
      </c>
      <c r="E237" s="1" t="str">
        <f>TEXT(Table1[[#This Row],[Date]],"MMM")</f>
        <v>Dec</v>
      </c>
      <c r="F237" s="1" t="str">
        <f>TEXT(Table1[[#This Row],[Date]],"yyyy")</f>
        <v>2024</v>
      </c>
      <c r="G237" t="s">
        <v>313</v>
      </c>
      <c r="H237" t="s">
        <v>315</v>
      </c>
      <c r="I237" t="s">
        <v>318</v>
      </c>
      <c r="J237">
        <v>765.54</v>
      </c>
      <c r="K237">
        <v>6</v>
      </c>
      <c r="L237">
        <v>88.74</v>
      </c>
    </row>
    <row r="238" spans="3:12" x14ac:dyDescent="0.35">
      <c r="C238" t="s">
        <v>240</v>
      </c>
      <c r="D238" s="1">
        <v>45530</v>
      </c>
      <c r="E238" s="1" t="str">
        <f>TEXT(Table1[[#This Row],[Date]],"MMM")</f>
        <v>Aug</v>
      </c>
      <c r="F238" s="1" t="str">
        <f>TEXT(Table1[[#This Row],[Date]],"yyyy")</f>
        <v>2024</v>
      </c>
      <c r="G238" t="s">
        <v>310</v>
      </c>
      <c r="H238" t="s">
        <v>315</v>
      </c>
      <c r="I238" t="s">
        <v>318</v>
      </c>
      <c r="J238">
        <v>3775.96</v>
      </c>
      <c r="K238">
        <v>7</v>
      </c>
      <c r="L238">
        <v>428.69</v>
      </c>
    </row>
    <row r="239" spans="3:12" x14ac:dyDescent="0.35">
      <c r="C239" t="s">
        <v>241</v>
      </c>
      <c r="D239" s="1">
        <v>45153</v>
      </c>
      <c r="E239" s="1" t="str">
        <f>TEXT(Table1[[#This Row],[Date]],"MMM")</f>
        <v>Aug</v>
      </c>
      <c r="F239" s="1" t="str">
        <f>TEXT(Table1[[#This Row],[Date]],"yyyy")</f>
        <v>2023</v>
      </c>
      <c r="G239" t="s">
        <v>312</v>
      </c>
      <c r="H239" t="s">
        <v>315</v>
      </c>
      <c r="I239" t="s">
        <v>319</v>
      </c>
      <c r="J239">
        <v>4257.95</v>
      </c>
      <c r="K239">
        <v>6</v>
      </c>
      <c r="L239">
        <v>627.71</v>
      </c>
    </row>
    <row r="240" spans="3:12" x14ac:dyDescent="0.35">
      <c r="C240" t="s">
        <v>242</v>
      </c>
      <c r="D240" s="1">
        <v>45470</v>
      </c>
      <c r="E240" s="1" t="str">
        <f>TEXT(Table1[[#This Row],[Date]],"MMM")</f>
        <v>Jun</v>
      </c>
      <c r="F240" s="1" t="str">
        <f>TEXT(Table1[[#This Row],[Date]],"yyyy")</f>
        <v>2024</v>
      </c>
      <c r="G240" t="s">
        <v>308</v>
      </c>
      <c r="H240" t="s">
        <v>314</v>
      </c>
      <c r="I240" t="s">
        <v>316</v>
      </c>
      <c r="J240">
        <v>2173.79</v>
      </c>
      <c r="K240">
        <v>9</v>
      </c>
      <c r="L240">
        <v>171.24</v>
      </c>
    </row>
    <row r="241" spans="3:12" x14ac:dyDescent="0.35">
      <c r="C241" t="s">
        <v>243</v>
      </c>
      <c r="D241" s="1">
        <v>45168</v>
      </c>
      <c r="E241" s="1" t="str">
        <f>TEXT(Table1[[#This Row],[Date]],"MMM")</f>
        <v>Aug</v>
      </c>
      <c r="F241" s="1" t="str">
        <f>TEXT(Table1[[#This Row],[Date]],"yyyy")</f>
        <v>2023</v>
      </c>
      <c r="G241" t="s">
        <v>312</v>
      </c>
      <c r="H241" t="s">
        <v>315</v>
      </c>
      <c r="I241" t="s">
        <v>317</v>
      </c>
      <c r="J241">
        <v>316.49</v>
      </c>
      <c r="K241">
        <v>2</v>
      </c>
      <c r="L241">
        <v>134.22999999999999</v>
      </c>
    </row>
    <row r="242" spans="3:12" x14ac:dyDescent="0.35">
      <c r="C242" t="s">
        <v>244</v>
      </c>
      <c r="D242" s="1">
        <v>45598</v>
      </c>
      <c r="E242" s="1" t="str">
        <f>TEXT(Table1[[#This Row],[Date]],"MMM")</f>
        <v>Nov</v>
      </c>
      <c r="F242" s="1" t="str">
        <f>TEXT(Table1[[#This Row],[Date]],"yyyy")</f>
        <v>2024</v>
      </c>
      <c r="G242" t="s">
        <v>313</v>
      </c>
      <c r="H242" t="s">
        <v>315</v>
      </c>
      <c r="I242" t="s">
        <v>317</v>
      </c>
      <c r="J242">
        <v>445.77</v>
      </c>
      <c r="K242">
        <v>2</v>
      </c>
      <c r="L242">
        <v>158.16999999999999</v>
      </c>
    </row>
    <row r="243" spans="3:12" x14ac:dyDescent="0.35">
      <c r="C243" t="s">
        <v>245</v>
      </c>
      <c r="D243" s="1">
        <v>45504</v>
      </c>
      <c r="E243" s="1" t="str">
        <f>TEXT(Table1[[#This Row],[Date]],"MMM")</f>
        <v>Jul</v>
      </c>
      <c r="F243" s="1" t="str">
        <f>TEXT(Table1[[#This Row],[Date]],"yyyy")</f>
        <v>2024</v>
      </c>
      <c r="G243" t="s">
        <v>311</v>
      </c>
      <c r="H243" t="s">
        <v>314</v>
      </c>
      <c r="I243" t="s">
        <v>318</v>
      </c>
      <c r="J243">
        <v>5439.95</v>
      </c>
      <c r="K243">
        <v>10</v>
      </c>
      <c r="L243">
        <v>370.15</v>
      </c>
    </row>
    <row r="244" spans="3:12" x14ac:dyDescent="0.35">
      <c r="C244" t="s">
        <v>246</v>
      </c>
      <c r="D244" s="1">
        <v>45569</v>
      </c>
      <c r="E244" s="1" t="str">
        <f>TEXT(Table1[[#This Row],[Date]],"MMM")</f>
        <v>Oct</v>
      </c>
      <c r="F244" s="1" t="str">
        <f>TEXT(Table1[[#This Row],[Date]],"yyyy")</f>
        <v>2024</v>
      </c>
      <c r="G244" t="s">
        <v>313</v>
      </c>
      <c r="H244" t="s">
        <v>315</v>
      </c>
      <c r="I244" t="s">
        <v>319</v>
      </c>
      <c r="J244">
        <v>931.73</v>
      </c>
      <c r="K244">
        <v>6</v>
      </c>
      <c r="L244">
        <v>137.75</v>
      </c>
    </row>
    <row r="245" spans="3:12" x14ac:dyDescent="0.35">
      <c r="C245" t="s">
        <v>247</v>
      </c>
      <c r="D245" s="1">
        <v>45208</v>
      </c>
      <c r="E245" s="1" t="str">
        <f>TEXT(Table1[[#This Row],[Date]],"MMM")</f>
        <v>Oct</v>
      </c>
      <c r="F245" s="1" t="str">
        <f>TEXT(Table1[[#This Row],[Date]],"yyyy")</f>
        <v>2023</v>
      </c>
      <c r="G245" t="s">
        <v>311</v>
      </c>
      <c r="H245" t="s">
        <v>314</v>
      </c>
      <c r="I245" t="s">
        <v>319</v>
      </c>
      <c r="J245">
        <v>831.4</v>
      </c>
      <c r="K245">
        <v>10</v>
      </c>
      <c r="L245">
        <v>63.81</v>
      </c>
    </row>
    <row r="246" spans="3:12" x14ac:dyDescent="0.35">
      <c r="C246" t="s">
        <v>248</v>
      </c>
      <c r="D246" s="1">
        <v>45389</v>
      </c>
      <c r="E246" s="1" t="str">
        <f>TEXT(Table1[[#This Row],[Date]],"MMM")</f>
        <v>Apr</v>
      </c>
      <c r="F246" s="1" t="str">
        <f>TEXT(Table1[[#This Row],[Date]],"yyyy")</f>
        <v>2024</v>
      </c>
      <c r="G246" t="s">
        <v>312</v>
      </c>
      <c r="H246" t="s">
        <v>315</v>
      </c>
      <c r="I246" t="s">
        <v>318</v>
      </c>
      <c r="J246">
        <v>92.22</v>
      </c>
      <c r="K246">
        <v>1</v>
      </c>
      <c r="L246">
        <v>64.37</v>
      </c>
    </row>
    <row r="247" spans="3:12" x14ac:dyDescent="0.35">
      <c r="C247" t="s">
        <v>249</v>
      </c>
      <c r="D247" s="1">
        <v>45556</v>
      </c>
      <c r="E247" s="1" t="str">
        <f>TEXT(Table1[[#This Row],[Date]],"MMM")</f>
        <v>Sept</v>
      </c>
      <c r="F247" s="1" t="str">
        <f>TEXT(Table1[[#This Row],[Date]],"yyyy")</f>
        <v>2024</v>
      </c>
      <c r="G247" t="s">
        <v>309</v>
      </c>
      <c r="H247" t="s">
        <v>314</v>
      </c>
      <c r="I247" t="s">
        <v>316</v>
      </c>
      <c r="J247">
        <v>5339.66</v>
      </c>
      <c r="K247">
        <v>10</v>
      </c>
      <c r="L247">
        <v>415.51</v>
      </c>
    </row>
    <row r="248" spans="3:12" x14ac:dyDescent="0.35">
      <c r="C248" t="s">
        <v>250</v>
      </c>
      <c r="D248" s="1">
        <v>45387</v>
      </c>
      <c r="E248" s="1" t="str">
        <f>TEXT(Table1[[#This Row],[Date]],"MMM")</f>
        <v>Apr</v>
      </c>
      <c r="F248" s="1" t="str">
        <f>TEXT(Table1[[#This Row],[Date]],"yyyy")</f>
        <v>2024</v>
      </c>
      <c r="G248" t="s">
        <v>313</v>
      </c>
      <c r="H248" t="s">
        <v>315</v>
      </c>
      <c r="I248" t="s">
        <v>316</v>
      </c>
      <c r="J248">
        <v>6492.35</v>
      </c>
      <c r="K248">
        <v>10</v>
      </c>
      <c r="L248">
        <v>528.42999999999995</v>
      </c>
    </row>
    <row r="249" spans="3:12" x14ac:dyDescent="0.35">
      <c r="C249" t="s">
        <v>251</v>
      </c>
      <c r="D249" s="1">
        <v>44990</v>
      </c>
      <c r="E249" s="1" t="str">
        <f>TEXT(Table1[[#This Row],[Date]],"MMM")</f>
        <v>Mar</v>
      </c>
      <c r="F249" s="1" t="str">
        <f>TEXT(Table1[[#This Row],[Date]],"yyyy")</f>
        <v>2023</v>
      </c>
      <c r="G249" t="s">
        <v>311</v>
      </c>
      <c r="H249" t="s">
        <v>314</v>
      </c>
      <c r="I249" t="s">
        <v>317</v>
      </c>
      <c r="J249">
        <v>1176.24</v>
      </c>
      <c r="K249">
        <v>8</v>
      </c>
      <c r="L249">
        <v>100.73</v>
      </c>
    </row>
    <row r="250" spans="3:12" x14ac:dyDescent="0.35">
      <c r="C250" t="s">
        <v>252</v>
      </c>
      <c r="D250" s="1">
        <v>45443</v>
      </c>
      <c r="E250" s="1" t="str">
        <f>TEXT(Table1[[#This Row],[Date]],"MMM")</f>
        <v>May</v>
      </c>
      <c r="F250" s="1" t="str">
        <f>TEXT(Table1[[#This Row],[Date]],"yyyy")</f>
        <v>2024</v>
      </c>
      <c r="G250" t="s">
        <v>312</v>
      </c>
      <c r="H250" t="s">
        <v>315</v>
      </c>
      <c r="I250" t="s">
        <v>316</v>
      </c>
      <c r="J250">
        <v>209.66</v>
      </c>
      <c r="K250">
        <v>3</v>
      </c>
      <c r="L250">
        <v>50.53</v>
      </c>
    </row>
    <row r="251" spans="3:12" x14ac:dyDescent="0.35">
      <c r="C251" t="s">
        <v>253</v>
      </c>
      <c r="D251" s="1">
        <v>45299</v>
      </c>
      <c r="E251" s="1" t="str">
        <f>TEXT(Table1[[#This Row],[Date]],"MMM")</f>
        <v>Jan</v>
      </c>
      <c r="F251" s="1" t="str">
        <f>TEXT(Table1[[#This Row],[Date]],"yyyy")</f>
        <v>2024</v>
      </c>
      <c r="G251" t="s">
        <v>311</v>
      </c>
      <c r="H251" t="s">
        <v>314</v>
      </c>
      <c r="I251" t="s">
        <v>317</v>
      </c>
      <c r="J251">
        <v>5541.86</v>
      </c>
      <c r="K251">
        <v>6</v>
      </c>
      <c r="L251">
        <v>735.99</v>
      </c>
    </row>
    <row r="252" spans="3:12" x14ac:dyDescent="0.35">
      <c r="C252" t="s">
        <v>254</v>
      </c>
      <c r="D252" s="1">
        <v>45573</v>
      </c>
      <c r="E252" s="1" t="str">
        <f>TEXT(Table1[[#This Row],[Date]],"MMM")</f>
        <v>Oct</v>
      </c>
      <c r="F252" s="1" t="str">
        <f>TEXT(Table1[[#This Row],[Date]],"yyyy")</f>
        <v>2024</v>
      </c>
      <c r="G252" t="s">
        <v>312</v>
      </c>
      <c r="H252" t="s">
        <v>315</v>
      </c>
      <c r="I252" t="s">
        <v>316</v>
      </c>
      <c r="J252">
        <v>487.5</v>
      </c>
      <c r="K252">
        <v>6</v>
      </c>
      <c r="L252">
        <v>71.41</v>
      </c>
    </row>
    <row r="253" spans="3:12" x14ac:dyDescent="0.35">
      <c r="C253" t="s">
        <v>255</v>
      </c>
      <c r="D253" s="1">
        <v>45217</v>
      </c>
      <c r="E253" s="1" t="str">
        <f>TEXT(Table1[[#This Row],[Date]],"MMM")</f>
        <v>Oct</v>
      </c>
      <c r="F253" s="1" t="str">
        <f>TEXT(Table1[[#This Row],[Date]],"yyyy")</f>
        <v>2023</v>
      </c>
      <c r="G253" t="s">
        <v>308</v>
      </c>
      <c r="H253" t="s">
        <v>314</v>
      </c>
      <c r="I253" t="s">
        <v>318</v>
      </c>
      <c r="J253">
        <v>3982.34</v>
      </c>
      <c r="K253">
        <v>5</v>
      </c>
      <c r="L253">
        <v>584.51</v>
      </c>
    </row>
    <row r="254" spans="3:12" x14ac:dyDescent="0.35">
      <c r="C254" t="s">
        <v>256</v>
      </c>
      <c r="D254" s="1">
        <v>45268</v>
      </c>
      <c r="E254" s="1" t="str">
        <f>TEXT(Table1[[#This Row],[Date]],"MMM")</f>
        <v>Dec</v>
      </c>
      <c r="F254" s="1" t="str">
        <f>TEXT(Table1[[#This Row],[Date]],"yyyy")</f>
        <v>2023</v>
      </c>
      <c r="G254" t="s">
        <v>313</v>
      </c>
      <c r="H254" t="s">
        <v>315</v>
      </c>
      <c r="I254" t="s">
        <v>317</v>
      </c>
      <c r="J254">
        <v>1097.68</v>
      </c>
      <c r="K254">
        <v>2</v>
      </c>
      <c r="L254">
        <v>474.54</v>
      </c>
    </row>
    <row r="255" spans="3:12" x14ac:dyDescent="0.35">
      <c r="C255" t="s">
        <v>257</v>
      </c>
      <c r="D255" s="1">
        <v>45598</v>
      </c>
      <c r="E255" s="1" t="str">
        <f>TEXT(Table1[[#This Row],[Date]],"MMM")</f>
        <v>Nov</v>
      </c>
      <c r="F255" s="1" t="str">
        <f>TEXT(Table1[[#This Row],[Date]],"yyyy")</f>
        <v>2024</v>
      </c>
      <c r="G255" t="s">
        <v>312</v>
      </c>
      <c r="H255" t="s">
        <v>315</v>
      </c>
      <c r="I255" t="s">
        <v>319</v>
      </c>
      <c r="J255">
        <v>1167.79</v>
      </c>
      <c r="K255">
        <v>7</v>
      </c>
      <c r="L255">
        <v>120.58</v>
      </c>
    </row>
    <row r="256" spans="3:12" x14ac:dyDescent="0.35">
      <c r="C256" t="s">
        <v>258</v>
      </c>
      <c r="D256" s="1">
        <v>45499</v>
      </c>
      <c r="E256" s="1" t="str">
        <f>TEXT(Table1[[#This Row],[Date]],"MMM")</f>
        <v>Jul</v>
      </c>
      <c r="F256" s="1" t="str">
        <f>TEXT(Table1[[#This Row],[Date]],"yyyy")</f>
        <v>2024</v>
      </c>
      <c r="G256" t="s">
        <v>309</v>
      </c>
      <c r="H256" t="s">
        <v>314</v>
      </c>
      <c r="I256" t="s">
        <v>319</v>
      </c>
      <c r="J256">
        <v>4498.8100000000004</v>
      </c>
      <c r="K256">
        <v>7</v>
      </c>
      <c r="L256">
        <v>521.91999999999996</v>
      </c>
    </row>
    <row r="257" spans="3:12" x14ac:dyDescent="0.35">
      <c r="C257" t="s">
        <v>259</v>
      </c>
      <c r="D257" s="1">
        <v>45588</v>
      </c>
      <c r="E257" s="1" t="str">
        <f>TEXT(Table1[[#This Row],[Date]],"MMM")</f>
        <v>Oct</v>
      </c>
      <c r="F257" s="1" t="str">
        <f>TEXT(Table1[[#This Row],[Date]],"yyyy")</f>
        <v>2024</v>
      </c>
      <c r="G257" t="s">
        <v>310</v>
      </c>
      <c r="H257" t="s">
        <v>315</v>
      </c>
      <c r="I257" t="s">
        <v>316</v>
      </c>
      <c r="J257">
        <v>3229.24</v>
      </c>
      <c r="K257">
        <v>7</v>
      </c>
      <c r="L257">
        <v>416.62</v>
      </c>
    </row>
    <row r="258" spans="3:12" x14ac:dyDescent="0.35">
      <c r="C258" t="s">
        <v>260</v>
      </c>
      <c r="D258" s="1">
        <v>45146</v>
      </c>
      <c r="E258" s="1" t="str">
        <f>TEXT(Table1[[#This Row],[Date]],"MMM")</f>
        <v>Aug</v>
      </c>
      <c r="F258" s="1" t="str">
        <f>TEXT(Table1[[#This Row],[Date]],"yyyy")</f>
        <v>2023</v>
      </c>
      <c r="G258" t="s">
        <v>312</v>
      </c>
      <c r="H258" t="s">
        <v>315</v>
      </c>
      <c r="I258" t="s">
        <v>317</v>
      </c>
      <c r="J258">
        <v>5896.59</v>
      </c>
      <c r="K258">
        <v>6</v>
      </c>
      <c r="L258">
        <v>759.18</v>
      </c>
    </row>
    <row r="259" spans="3:12" x14ac:dyDescent="0.35">
      <c r="C259" t="s">
        <v>261</v>
      </c>
      <c r="D259" s="1">
        <v>45085</v>
      </c>
      <c r="E259" s="1" t="str">
        <f>TEXT(Table1[[#This Row],[Date]],"MMM")</f>
        <v>Jun</v>
      </c>
      <c r="F259" s="1" t="str">
        <f>TEXT(Table1[[#This Row],[Date]],"yyyy")</f>
        <v>2023</v>
      </c>
      <c r="G259" t="s">
        <v>310</v>
      </c>
      <c r="H259" t="s">
        <v>315</v>
      </c>
      <c r="I259" t="s">
        <v>317</v>
      </c>
      <c r="J259">
        <v>709.66</v>
      </c>
      <c r="K259">
        <v>2</v>
      </c>
      <c r="L259">
        <v>250.72</v>
      </c>
    </row>
    <row r="260" spans="3:12" x14ac:dyDescent="0.35">
      <c r="C260" t="s">
        <v>262</v>
      </c>
      <c r="D260" s="1">
        <v>45604</v>
      </c>
      <c r="E260" s="1" t="str">
        <f>TEXT(Table1[[#This Row],[Date]],"MMM")</f>
        <v>Nov</v>
      </c>
      <c r="F260" s="1" t="str">
        <f>TEXT(Table1[[#This Row],[Date]],"yyyy")</f>
        <v>2024</v>
      </c>
      <c r="G260" t="s">
        <v>313</v>
      </c>
      <c r="H260" t="s">
        <v>315</v>
      </c>
      <c r="I260" t="s">
        <v>316</v>
      </c>
      <c r="J260">
        <v>5687.31</v>
      </c>
      <c r="K260">
        <v>6</v>
      </c>
      <c r="L260">
        <v>703.59</v>
      </c>
    </row>
    <row r="261" spans="3:12" x14ac:dyDescent="0.35">
      <c r="C261" t="s">
        <v>263</v>
      </c>
      <c r="D261" s="1">
        <v>45084</v>
      </c>
      <c r="E261" s="1" t="str">
        <f>TEXT(Table1[[#This Row],[Date]],"MMM")</f>
        <v>Jun</v>
      </c>
      <c r="F261" s="1" t="str">
        <f>TEXT(Table1[[#This Row],[Date]],"yyyy")</f>
        <v>2023</v>
      </c>
      <c r="G261" t="s">
        <v>313</v>
      </c>
      <c r="H261" t="s">
        <v>315</v>
      </c>
      <c r="I261" t="s">
        <v>318</v>
      </c>
      <c r="J261">
        <v>665.41</v>
      </c>
      <c r="K261">
        <v>3</v>
      </c>
      <c r="L261">
        <v>161.06</v>
      </c>
    </row>
    <row r="262" spans="3:12" x14ac:dyDescent="0.35">
      <c r="C262" t="s">
        <v>264</v>
      </c>
      <c r="D262" s="1">
        <v>45375</v>
      </c>
      <c r="E262" s="1" t="str">
        <f>TEXT(Table1[[#This Row],[Date]],"MMM")</f>
        <v>Mar</v>
      </c>
      <c r="F262" s="1" t="str">
        <f>TEXT(Table1[[#This Row],[Date]],"yyyy")</f>
        <v>2024</v>
      </c>
      <c r="G262" t="s">
        <v>313</v>
      </c>
      <c r="H262" t="s">
        <v>315</v>
      </c>
      <c r="I262" t="s">
        <v>317</v>
      </c>
      <c r="J262">
        <v>466.63</v>
      </c>
      <c r="K262">
        <v>1</v>
      </c>
      <c r="L262">
        <v>340.47</v>
      </c>
    </row>
    <row r="263" spans="3:12" x14ac:dyDescent="0.35">
      <c r="C263" t="s">
        <v>265</v>
      </c>
      <c r="D263" s="1">
        <v>45552</v>
      </c>
      <c r="E263" s="1" t="str">
        <f>TEXT(Table1[[#This Row],[Date]],"MMM")</f>
        <v>Sept</v>
      </c>
      <c r="F263" s="1" t="str">
        <f>TEXT(Table1[[#This Row],[Date]],"yyyy")</f>
        <v>2024</v>
      </c>
      <c r="G263" t="s">
        <v>310</v>
      </c>
      <c r="H263" t="s">
        <v>315</v>
      </c>
      <c r="I263" t="s">
        <v>318</v>
      </c>
      <c r="J263">
        <v>4289.1099999999997</v>
      </c>
      <c r="K263">
        <v>5</v>
      </c>
      <c r="L263">
        <v>606.87</v>
      </c>
    </row>
    <row r="264" spans="3:12" x14ac:dyDescent="0.35">
      <c r="C264" t="s">
        <v>266</v>
      </c>
      <c r="D264" s="1">
        <v>45243</v>
      </c>
      <c r="E264" s="1" t="str">
        <f>TEXT(Table1[[#This Row],[Date]],"MMM")</f>
        <v>Nov</v>
      </c>
      <c r="F264" s="1" t="str">
        <f>TEXT(Table1[[#This Row],[Date]],"yyyy")</f>
        <v>2023</v>
      </c>
      <c r="G264" t="s">
        <v>310</v>
      </c>
      <c r="H264" t="s">
        <v>315</v>
      </c>
      <c r="I264" t="s">
        <v>317</v>
      </c>
      <c r="J264">
        <v>6831.06</v>
      </c>
      <c r="K264">
        <v>8</v>
      </c>
      <c r="L264">
        <v>725.1</v>
      </c>
    </row>
    <row r="265" spans="3:12" x14ac:dyDescent="0.35">
      <c r="C265" t="s">
        <v>267</v>
      </c>
      <c r="D265" s="1">
        <v>45399</v>
      </c>
      <c r="E265" s="1" t="str">
        <f>TEXT(Table1[[#This Row],[Date]],"MMM")</f>
        <v>Apr</v>
      </c>
      <c r="F265" s="1" t="str">
        <f>TEXT(Table1[[#This Row],[Date]],"yyyy")</f>
        <v>2024</v>
      </c>
      <c r="G265" t="s">
        <v>308</v>
      </c>
      <c r="H265" t="s">
        <v>314</v>
      </c>
      <c r="I265" t="s">
        <v>318</v>
      </c>
      <c r="J265">
        <v>4078.75</v>
      </c>
      <c r="K265">
        <v>5</v>
      </c>
      <c r="L265">
        <v>626.94000000000005</v>
      </c>
    </row>
    <row r="266" spans="3:12" x14ac:dyDescent="0.35">
      <c r="C266" t="s">
        <v>268</v>
      </c>
      <c r="D266" s="1">
        <v>45131</v>
      </c>
      <c r="E266" s="1" t="str">
        <f>TEXT(Table1[[#This Row],[Date]],"MMM")</f>
        <v>Jul</v>
      </c>
      <c r="F266" s="1" t="str">
        <f>TEXT(Table1[[#This Row],[Date]],"yyyy")</f>
        <v>2023</v>
      </c>
      <c r="G266" t="s">
        <v>311</v>
      </c>
      <c r="H266" t="s">
        <v>314</v>
      </c>
      <c r="I266" t="s">
        <v>317</v>
      </c>
      <c r="J266">
        <v>1535.4</v>
      </c>
      <c r="K266">
        <v>10</v>
      </c>
      <c r="L266">
        <v>127.95</v>
      </c>
    </row>
    <row r="267" spans="3:12" x14ac:dyDescent="0.35">
      <c r="C267" t="s">
        <v>269</v>
      </c>
      <c r="D267" s="1">
        <v>45307</v>
      </c>
      <c r="E267" s="1" t="str">
        <f>TEXT(Table1[[#This Row],[Date]],"MMM")</f>
        <v>Jan</v>
      </c>
      <c r="F267" s="1" t="str">
        <f>TEXT(Table1[[#This Row],[Date]],"yyyy")</f>
        <v>2024</v>
      </c>
      <c r="G267" t="s">
        <v>308</v>
      </c>
      <c r="H267" t="s">
        <v>314</v>
      </c>
      <c r="I267" t="s">
        <v>318</v>
      </c>
      <c r="J267">
        <v>9330.2099999999991</v>
      </c>
      <c r="K267">
        <v>9</v>
      </c>
      <c r="L267">
        <v>748.75</v>
      </c>
    </row>
    <row r="268" spans="3:12" x14ac:dyDescent="0.35">
      <c r="C268" t="s">
        <v>270</v>
      </c>
      <c r="D268" s="1">
        <v>45218</v>
      </c>
      <c r="E268" s="1" t="str">
        <f>TEXT(Table1[[#This Row],[Date]],"MMM")</f>
        <v>Oct</v>
      </c>
      <c r="F268" s="1" t="str">
        <f>TEXT(Table1[[#This Row],[Date]],"yyyy")</f>
        <v>2023</v>
      </c>
      <c r="G268" t="s">
        <v>313</v>
      </c>
      <c r="H268" t="s">
        <v>315</v>
      </c>
      <c r="I268" t="s">
        <v>316</v>
      </c>
      <c r="J268">
        <v>1487.77</v>
      </c>
      <c r="K268">
        <v>2</v>
      </c>
      <c r="L268">
        <v>615.23</v>
      </c>
    </row>
    <row r="269" spans="3:12" x14ac:dyDescent="0.35">
      <c r="C269" t="s">
        <v>271</v>
      </c>
      <c r="D269" s="1">
        <v>45374</v>
      </c>
      <c r="E269" s="1" t="str">
        <f>TEXT(Table1[[#This Row],[Date]],"MMM")</f>
        <v>Mar</v>
      </c>
      <c r="F269" s="1" t="str">
        <f>TEXT(Table1[[#This Row],[Date]],"yyyy")</f>
        <v>2024</v>
      </c>
      <c r="G269" t="s">
        <v>313</v>
      </c>
      <c r="H269" t="s">
        <v>315</v>
      </c>
      <c r="I269" t="s">
        <v>317</v>
      </c>
      <c r="J269">
        <v>1802.72</v>
      </c>
      <c r="K269">
        <v>2</v>
      </c>
      <c r="L269">
        <v>758.2</v>
      </c>
    </row>
    <row r="270" spans="3:12" x14ac:dyDescent="0.35">
      <c r="C270" t="s">
        <v>272</v>
      </c>
      <c r="D270" s="1">
        <v>44954</v>
      </c>
      <c r="E270" s="1" t="str">
        <f>TEXT(Table1[[#This Row],[Date]],"MMM")</f>
        <v>Jan</v>
      </c>
      <c r="F270" s="1" t="str">
        <f>TEXT(Table1[[#This Row],[Date]],"yyyy")</f>
        <v>2023</v>
      </c>
      <c r="G270" t="s">
        <v>311</v>
      </c>
      <c r="H270" t="s">
        <v>314</v>
      </c>
      <c r="I270" t="s">
        <v>319</v>
      </c>
      <c r="J270">
        <v>560.36</v>
      </c>
      <c r="K270">
        <v>7</v>
      </c>
      <c r="L270">
        <v>61.54</v>
      </c>
    </row>
    <row r="271" spans="3:12" x14ac:dyDescent="0.35">
      <c r="C271" t="s">
        <v>273</v>
      </c>
      <c r="D271" s="1">
        <v>45010</v>
      </c>
      <c r="E271" s="1" t="str">
        <f>TEXT(Table1[[#This Row],[Date]],"MMM")</f>
        <v>Mar</v>
      </c>
      <c r="F271" s="1" t="str">
        <f>TEXT(Table1[[#This Row],[Date]],"yyyy")</f>
        <v>2023</v>
      </c>
      <c r="G271" t="s">
        <v>310</v>
      </c>
      <c r="H271" t="s">
        <v>315</v>
      </c>
      <c r="I271" t="s">
        <v>318</v>
      </c>
      <c r="J271">
        <v>1437.18</v>
      </c>
      <c r="K271">
        <v>6</v>
      </c>
      <c r="L271">
        <v>195.14</v>
      </c>
    </row>
    <row r="272" spans="3:12" x14ac:dyDescent="0.35">
      <c r="C272" t="s">
        <v>274</v>
      </c>
      <c r="D272" s="1">
        <v>45076</v>
      </c>
      <c r="E272" s="1" t="str">
        <f>TEXT(Table1[[#This Row],[Date]],"MMM")</f>
        <v>May</v>
      </c>
      <c r="F272" s="1" t="str">
        <f>TEXT(Table1[[#This Row],[Date]],"yyyy")</f>
        <v>2023</v>
      </c>
      <c r="G272" t="s">
        <v>309</v>
      </c>
      <c r="H272" t="s">
        <v>314</v>
      </c>
      <c r="I272" t="s">
        <v>319</v>
      </c>
      <c r="J272">
        <v>219.52</v>
      </c>
      <c r="K272">
        <v>3</v>
      </c>
      <c r="L272">
        <v>49.88</v>
      </c>
    </row>
    <row r="273" spans="3:12" x14ac:dyDescent="0.35">
      <c r="C273" t="s">
        <v>275</v>
      </c>
      <c r="D273" s="1">
        <v>45649</v>
      </c>
      <c r="E273" s="1" t="str">
        <f>TEXT(Table1[[#This Row],[Date]],"MMM")</f>
        <v>Dec</v>
      </c>
      <c r="F273" s="1" t="str">
        <f>TEXT(Table1[[#This Row],[Date]],"yyyy")</f>
        <v>2024</v>
      </c>
      <c r="G273" t="s">
        <v>311</v>
      </c>
      <c r="H273" t="s">
        <v>314</v>
      </c>
      <c r="I273" t="s">
        <v>317</v>
      </c>
      <c r="J273">
        <v>3261.42</v>
      </c>
      <c r="K273">
        <v>8</v>
      </c>
      <c r="L273">
        <v>369.91</v>
      </c>
    </row>
    <row r="274" spans="3:12" x14ac:dyDescent="0.35">
      <c r="C274" t="s">
        <v>276</v>
      </c>
      <c r="D274" s="1">
        <v>45189</v>
      </c>
      <c r="E274" s="1" t="str">
        <f>TEXT(Table1[[#This Row],[Date]],"MMM")</f>
        <v>Sept</v>
      </c>
      <c r="F274" s="1" t="str">
        <f>TEXT(Table1[[#This Row],[Date]],"yyyy")</f>
        <v>2023</v>
      </c>
      <c r="G274" t="s">
        <v>309</v>
      </c>
      <c r="H274" t="s">
        <v>314</v>
      </c>
      <c r="I274" t="s">
        <v>316</v>
      </c>
      <c r="J274">
        <v>3543.02</v>
      </c>
      <c r="K274">
        <v>4</v>
      </c>
      <c r="L274">
        <v>671.27</v>
      </c>
    </row>
    <row r="275" spans="3:12" x14ac:dyDescent="0.35">
      <c r="C275" t="s">
        <v>277</v>
      </c>
      <c r="D275" s="1">
        <v>45040</v>
      </c>
      <c r="E275" s="1" t="str">
        <f>TEXT(Table1[[#This Row],[Date]],"MMM")</f>
        <v>Apr</v>
      </c>
      <c r="F275" s="1" t="str">
        <f>TEXT(Table1[[#This Row],[Date]],"yyyy")</f>
        <v>2023</v>
      </c>
      <c r="G275" t="s">
        <v>308</v>
      </c>
      <c r="H275" t="s">
        <v>314</v>
      </c>
      <c r="I275" t="s">
        <v>318</v>
      </c>
      <c r="J275">
        <v>1179.53</v>
      </c>
      <c r="K275">
        <v>5</v>
      </c>
      <c r="L275">
        <v>205.36</v>
      </c>
    </row>
    <row r="276" spans="3:12" x14ac:dyDescent="0.35">
      <c r="C276" t="s">
        <v>278</v>
      </c>
      <c r="D276" s="1">
        <v>45581</v>
      </c>
      <c r="E276" s="1" t="str">
        <f>TEXT(Table1[[#This Row],[Date]],"MMM")</f>
        <v>Oct</v>
      </c>
      <c r="F276" s="1" t="str">
        <f>TEXT(Table1[[#This Row],[Date]],"yyyy")</f>
        <v>2024</v>
      </c>
      <c r="G276" t="s">
        <v>310</v>
      </c>
      <c r="H276" t="s">
        <v>315</v>
      </c>
      <c r="I276" t="s">
        <v>318</v>
      </c>
      <c r="J276">
        <v>4309.0200000000004</v>
      </c>
      <c r="K276">
        <v>10</v>
      </c>
      <c r="L276">
        <v>376.55</v>
      </c>
    </row>
    <row r="277" spans="3:12" x14ac:dyDescent="0.35">
      <c r="C277" t="s">
        <v>279</v>
      </c>
      <c r="D277" s="1">
        <v>45574</v>
      </c>
      <c r="E277" s="1" t="str">
        <f>TEXT(Table1[[#This Row],[Date]],"MMM")</f>
        <v>Oct</v>
      </c>
      <c r="F277" s="1" t="str">
        <f>TEXT(Table1[[#This Row],[Date]],"yyyy")</f>
        <v>2024</v>
      </c>
      <c r="G277" t="s">
        <v>311</v>
      </c>
      <c r="H277" t="s">
        <v>314</v>
      </c>
      <c r="I277" t="s">
        <v>316</v>
      </c>
      <c r="J277">
        <v>5850.55</v>
      </c>
      <c r="K277">
        <v>9</v>
      </c>
      <c r="L277">
        <v>468.54</v>
      </c>
    </row>
    <row r="278" spans="3:12" x14ac:dyDescent="0.35">
      <c r="C278" t="s">
        <v>280</v>
      </c>
      <c r="D278" s="1">
        <v>44928</v>
      </c>
      <c r="E278" s="1" t="str">
        <f>TEXT(Table1[[#This Row],[Date]],"MMM")</f>
        <v>Jan</v>
      </c>
      <c r="F278" s="1" t="str">
        <f>TEXT(Table1[[#This Row],[Date]],"yyyy")</f>
        <v>2023</v>
      </c>
      <c r="G278" t="s">
        <v>312</v>
      </c>
      <c r="H278" t="s">
        <v>315</v>
      </c>
      <c r="I278" t="s">
        <v>318</v>
      </c>
      <c r="J278">
        <v>3921.04</v>
      </c>
      <c r="K278">
        <v>10</v>
      </c>
      <c r="L278">
        <v>295.2</v>
      </c>
    </row>
    <row r="279" spans="3:12" x14ac:dyDescent="0.35">
      <c r="C279" t="s">
        <v>281</v>
      </c>
      <c r="D279" s="1">
        <v>45463</v>
      </c>
      <c r="E279" s="1" t="str">
        <f>TEXT(Table1[[#This Row],[Date]],"MMM")</f>
        <v>Jun</v>
      </c>
      <c r="F279" s="1" t="str">
        <f>TEXT(Table1[[#This Row],[Date]],"yyyy")</f>
        <v>2024</v>
      </c>
      <c r="G279" t="s">
        <v>310</v>
      </c>
      <c r="H279" t="s">
        <v>315</v>
      </c>
      <c r="I279" t="s">
        <v>316</v>
      </c>
      <c r="J279">
        <v>572.30999999999995</v>
      </c>
      <c r="K279">
        <v>6</v>
      </c>
      <c r="L279">
        <v>72.790000000000006</v>
      </c>
    </row>
    <row r="280" spans="3:12" x14ac:dyDescent="0.35">
      <c r="C280" t="s">
        <v>282</v>
      </c>
      <c r="D280" s="1">
        <v>45326</v>
      </c>
      <c r="E280" s="1" t="str">
        <f>TEXT(Table1[[#This Row],[Date]],"MMM")</f>
        <v>Feb</v>
      </c>
      <c r="F280" s="1" t="str">
        <f>TEXT(Table1[[#This Row],[Date]],"yyyy")</f>
        <v>2024</v>
      </c>
      <c r="G280" t="s">
        <v>313</v>
      </c>
      <c r="H280" t="s">
        <v>315</v>
      </c>
      <c r="I280" t="s">
        <v>316</v>
      </c>
      <c r="J280">
        <v>541.65</v>
      </c>
      <c r="K280">
        <v>8</v>
      </c>
      <c r="L280">
        <v>53.96</v>
      </c>
    </row>
    <row r="281" spans="3:12" x14ac:dyDescent="0.35">
      <c r="C281" t="s">
        <v>283</v>
      </c>
      <c r="D281" s="1">
        <v>44943</v>
      </c>
      <c r="E281" s="1" t="str">
        <f>TEXT(Table1[[#This Row],[Date]],"MMM")</f>
        <v>Jan</v>
      </c>
      <c r="F281" s="1" t="str">
        <f>TEXT(Table1[[#This Row],[Date]],"yyyy")</f>
        <v>2023</v>
      </c>
      <c r="G281" t="s">
        <v>312</v>
      </c>
      <c r="H281" t="s">
        <v>315</v>
      </c>
      <c r="I281" t="s">
        <v>319</v>
      </c>
      <c r="J281">
        <v>4716.8500000000004</v>
      </c>
      <c r="K281">
        <v>6</v>
      </c>
      <c r="L281">
        <v>635.04999999999995</v>
      </c>
    </row>
    <row r="282" spans="3:12" x14ac:dyDescent="0.35">
      <c r="C282" t="s">
        <v>284</v>
      </c>
      <c r="D282" s="1">
        <v>45522</v>
      </c>
      <c r="E282" s="1" t="str">
        <f>TEXT(Table1[[#This Row],[Date]],"MMM")</f>
        <v>Aug</v>
      </c>
      <c r="F282" s="1" t="str">
        <f>TEXT(Table1[[#This Row],[Date]],"yyyy")</f>
        <v>2024</v>
      </c>
      <c r="G282" t="s">
        <v>308</v>
      </c>
      <c r="H282" t="s">
        <v>314</v>
      </c>
      <c r="I282" t="s">
        <v>316</v>
      </c>
      <c r="J282">
        <v>923.69</v>
      </c>
      <c r="K282">
        <v>6</v>
      </c>
      <c r="L282">
        <v>124.06</v>
      </c>
    </row>
    <row r="283" spans="3:12" x14ac:dyDescent="0.35">
      <c r="C283" t="s">
        <v>285</v>
      </c>
      <c r="D283" s="1">
        <v>45628</v>
      </c>
      <c r="E283" s="1" t="str">
        <f>TEXT(Table1[[#This Row],[Date]],"MMM")</f>
        <v>Dec</v>
      </c>
      <c r="F283" s="1" t="str">
        <f>TEXT(Table1[[#This Row],[Date]],"yyyy")</f>
        <v>2024</v>
      </c>
      <c r="G283" t="s">
        <v>312</v>
      </c>
      <c r="H283" t="s">
        <v>315</v>
      </c>
      <c r="I283" t="s">
        <v>317</v>
      </c>
      <c r="J283">
        <v>8110.48</v>
      </c>
      <c r="K283">
        <v>8</v>
      </c>
      <c r="L283">
        <v>785.04</v>
      </c>
    </row>
    <row r="284" spans="3:12" x14ac:dyDescent="0.35">
      <c r="C284" t="s">
        <v>286</v>
      </c>
      <c r="D284" s="1">
        <v>44991</v>
      </c>
      <c r="E284" s="1" t="str">
        <f>TEXT(Table1[[#This Row],[Date]],"MMM")</f>
        <v>Mar</v>
      </c>
      <c r="F284" s="1" t="str">
        <f>TEXT(Table1[[#This Row],[Date]],"yyyy")</f>
        <v>2023</v>
      </c>
      <c r="G284" t="s">
        <v>310</v>
      </c>
      <c r="H284" t="s">
        <v>315</v>
      </c>
      <c r="I284" t="s">
        <v>317</v>
      </c>
      <c r="J284">
        <v>461.39</v>
      </c>
      <c r="K284">
        <v>8</v>
      </c>
      <c r="L284">
        <v>48.85</v>
      </c>
    </row>
    <row r="285" spans="3:12" x14ac:dyDescent="0.35">
      <c r="C285" t="s">
        <v>287</v>
      </c>
      <c r="D285" s="1">
        <v>45250</v>
      </c>
      <c r="E285" s="1" t="str">
        <f>TEXT(Table1[[#This Row],[Date]],"MMM")</f>
        <v>Nov</v>
      </c>
      <c r="F285" s="1" t="str">
        <f>TEXT(Table1[[#This Row],[Date]],"yyyy")</f>
        <v>2023</v>
      </c>
      <c r="G285" t="s">
        <v>310</v>
      </c>
      <c r="H285" t="s">
        <v>315</v>
      </c>
      <c r="I285" t="s">
        <v>316</v>
      </c>
      <c r="J285">
        <v>3155.82</v>
      </c>
      <c r="K285">
        <v>5</v>
      </c>
      <c r="L285">
        <v>422</v>
      </c>
    </row>
    <row r="286" spans="3:12" x14ac:dyDescent="0.35">
      <c r="C286" t="s">
        <v>288</v>
      </c>
      <c r="D286" s="1">
        <v>45186</v>
      </c>
      <c r="E286" s="1" t="str">
        <f>TEXT(Table1[[#This Row],[Date]],"MMM")</f>
        <v>Sept</v>
      </c>
      <c r="F286" s="1" t="str">
        <f>TEXT(Table1[[#This Row],[Date]],"yyyy")</f>
        <v>2023</v>
      </c>
      <c r="G286" t="s">
        <v>313</v>
      </c>
      <c r="H286" t="s">
        <v>315</v>
      </c>
      <c r="I286" t="s">
        <v>318</v>
      </c>
      <c r="J286">
        <v>714.77</v>
      </c>
      <c r="K286">
        <v>1</v>
      </c>
      <c r="L286">
        <v>607.57000000000005</v>
      </c>
    </row>
    <row r="287" spans="3:12" x14ac:dyDescent="0.35">
      <c r="C287" t="s">
        <v>289</v>
      </c>
      <c r="D287" s="1">
        <v>45598</v>
      </c>
      <c r="E287" s="1" t="str">
        <f>TEXT(Table1[[#This Row],[Date]],"MMM")</f>
        <v>Nov</v>
      </c>
      <c r="F287" s="1" t="str">
        <f>TEXT(Table1[[#This Row],[Date]],"yyyy")</f>
        <v>2024</v>
      </c>
      <c r="G287" t="s">
        <v>312</v>
      </c>
      <c r="H287" t="s">
        <v>315</v>
      </c>
      <c r="I287" t="s">
        <v>316</v>
      </c>
      <c r="J287">
        <v>1985.73</v>
      </c>
      <c r="K287">
        <v>6</v>
      </c>
      <c r="L287">
        <v>233.11</v>
      </c>
    </row>
    <row r="288" spans="3:12" x14ac:dyDescent="0.35">
      <c r="C288" t="s">
        <v>290</v>
      </c>
      <c r="D288" s="1">
        <v>45377</v>
      </c>
      <c r="E288" s="1" t="str">
        <f>TEXT(Table1[[#This Row],[Date]],"MMM")</f>
        <v>Mar</v>
      </c>
      <c r="F288" s="1" t="str">
        <f>TEXT(Table1[[#This Row],[Date]],"yyyy")</f>
        <v>2024</v>
      </c>
      <c r="G288" t="s">
        <v>311</v>
      </c>
      <c r="H288" t="s">
        <v>314</v>
      </c>
      <c r="I288" t="s">
        <v>318</v>
      </c>
      <c r="J288">
        <v>2339.06</v>
      </c>
      <c r="K288">
        <v>7</v>
      </c>
      <c r="L288">
        <v>284.45</v>
      </c>
    </row>
    <row r="289" spans="3:12" x14ac:dyDescent="0.35">
      <c r="C289" t="s">
        <v>291</v>
      </c>
      <c r="D289" s="1">
        <v>45303</v>
      </c>
      <c r="E289" s="1" t="str">
        <f>TEXT(Table1[[#This Row],[Date]],"MMM")</f>
        <v>Jan</v>
      </c>
      <c r="F289" s="1" t="str">
        <f>TEXT(Table1[[#This Row],[Date]],"yyyy")</f>
        <v>2024</v>
      </c>
      <c r="G289" t="s">
        <v>308</v>
      </c>
      <c r="H289" t="s">
        <v>314</v>
      </c>
      <c r="I289" t="s">
        <v>318</v>
      </c>
      <c r="J289">
        <v>2325.42</v>
      </c>
      <c r="K289">
        <v>9</v>
      </c>
      <c r="L289">
        <v>228.04</v>
      </c>
    </row>
    <row r="290" spans="3:12" x14ac:dyDescent="0.35">
      <c r="C290" t="s">
        <v>292</v>
      </c>
      <c r="D290" s="1">
        <v>45367</v>
      </c>
      <c r="E290" s="1" t="str">
        <f>TEXT(Table1[[#This Row],[Date]],"MMM")</f>
        <v>Mar</v>
      </c>
      <c r="F290" s="1" t="str">
        <f>TEXT(Table1[[#This Row],[Date]],"yyyy")</f>
        <v>2024</v>
      </c>
      <c r="G290" t="s">
        <v>311</v>
      </c>
      <c r="H290" t="s">
        <v>314</v>
      </c>
      <c r="I290" t="s">
        <v>316</v>
      </c>
      <c r="J290">
        <v>9332.68</v>
      </c>
      <c r="K290">
        <v>10</v>
      </c>
      <c r="L290">
        <v>796.18</v>
      </c>
    </row>
    <row r="291" spans="3:12" x14ac:dyDescent="0.35">
      <c r="C291" t="s">
        <v>293</v>
      </c>
      <c r="D291" s="1">
        <v>45032</v>
      </c>
      <c r="E291" s="1" t="str">
        <f>TEXT(Table1[[#This Row],[Date]],"MMM")</f>
        <v>Apr</v>
      </c>
      <c r="F291" s="1" t="str">
        <f>TEXT(Table1[[#This Row],[Date]],"yyyy")</f>
        <v>2023</v>
      </c>
      <c r="G291" t="s">
        <v>312</v>
      </c>
      <c r="H291" t="s">
        <v>315</v>
      </c>
      <c r="I291" t="s">
        <v>319</v>
      </c>
      <c r="J291">
        <v>671.94</v>
      </c>
      <c r="K291">
        <v>2</v>
      </c>
      <c r="L291">
        <v>275.77999999999997</v>
      </c>
    </row>
    <row r="292" spans="3:12" x14ac:dyDescent="0.35">
      <c r="C292" t="s">
        <v>294</v>
      </c>
      <c r="D292" s="1">
        <v>45097</v>
      </c>
      <c r="E292" s="1" t="str">
        <f>TEXT(Table1[[#This Row],[Date]],"MMM")</f>
        <v>Jun</v>
      </c>
      <c r="F292" s="1" t="str">
        <f>TEXT(Table1[[#This Row],[Date]],"yyyy")</f>
        <v>2023</v>
      </c>
      <c r="G292" t="s">
        <v>311</v>
      </c>
      <c r="H292" t="s">
        <v>314</v>
      </c>
      <c r="I292" t="s">
        <v>318</v>
      </c>
      <c r="J292">
        <v>2628.92</v>
      </c>
      <c r="K292">
        <v>8</v>
      </c>
      <c r="L292">
        <v>294.20999999999998</v>
      </c>
    </row>
    <row r="293" spans="3:12" x14ac:dyDescent="0.35">
      <c r="C293" t="s">
        <v>295</v>
      </c>
      <c r="D293" s="1">
        <v>45208</v>
      </c>
      <c r="E293" s="1" t="str">
        <f>TEXT(Table1[[#This Row],[Date]],"MMM")</f>
        <v>Oct</v>
      </c>
      <c r="F293" s="1" t="str">
        <f>TEXT(Table1[[#This Row],[Date]],"yyyy")</f>
        <v>2023</v>
      </c>
      <c r="G293" t="s">
        <v>312</v>
      </c>
      <c r="H293" t="s">
        <v>315</v>
      </c>
      <c r="I293" t="s">
        <v>318</v>
      </c>
      <c r="J293">
        <v>106.41</v>
      </c>
      <c r="K293">
        <v>1</v>
      </c>
      <c r="L293">
        <v>78.53</v>
      </c>
    </row>
    <row r="294" spans="3:12" x14ac:dyDescent="0.35">
      <c r="C294" t="s">
        <v>296</v>
      </c>
      <c r="D294" s="1">
        <v>44958</v>
      </c>
      <c r="E294" s="1" t="str">
        <f>TEXT(Table1[[#This Row],[Date]],"MMM")</f>
        <v>Feb</v>
      </c>
      <c r="F294" s="1" t="str">
        <f>TEXT(Table1[[#This Row],[Date]],"yyyy")</f>
        <v>2023</v>
      </c>
      <c r="G294" t="s">
        <v>312</v>
      </c>
      <c r="H294" t="s">
        <v>315</v>
      </c>
      <c r="I294" t="s">
        <v>317</v>
      </c>
      <c r="J294">
        <v>2805.38</v>
      </c>
      <c r="K294">
        <v>3</v>
      </c>
      <c r="L294">
        <v>681.96</v>
      </c>
    </row>
    <row r="295" spans="3:12" x14ac:dyDescent="0.35">
      <c r="C295" t="s">
        <v>297</v>
      </c>
      <c r="D295" s="1">
        <v>45056</v>
      </c>
      <c r="E295" s="1" t="str">
        <f>TEXT(Table1[[#This Row],[Date]],"MMM")</f>
        <v>May</v>
      </c>
      <c r="F295" s="1" t="str">
        <f>TEXT(Table1[[#This Row],[Date]],"yyyy")</f>
        <v>2023</v>
      </c>
      <c r="G295" t="s">
        <v>311</v>
      </c>
      <c r="H295" t="s">
        <v>314</v>
      </c>
      <c r="I295" t="s">
        <v>316</v>
      </c>
      <c r="J295">
        <v>554.30999999999995</v>
      </c>
      <c r="K295">
        <v>2</v>
      </c>
      <c r="L295">
        <v>204.08</v>
      </c>
    </row>
    <row r="296" spans="3:12" x14ac:dyDescent="0.35">
      <c r="C296" t="s">
        <v>298</v>
      </c>
      <c r="D296" s="1">
        <v>45507</v>
      </c>
      <c r="E296" s="1" t="str">
        <f>TEXT(Table1[[#This Row],[Date]],"MMM")</f>
        <v>Aug</v>
      </c>
      <c r="F296" s="1" t="str">
        <f>TEXT(Table1[[#This Row],[Date]],"yyyy")</f>
        <v>2024</v>
      </c>
      <c r="G296" t="s">
        <v>312</v>
      </c>
      <c r="H296" t="s">
        <v>315</v>
      </c>
      <c r="I296" t="s">
        <v>318</v>
      </c>
      <c r="J296">
        <v>674.8</v>
      </c>
      <c r="K296">
        <v>1</v>
      </c>
      <c r="L296">
        <v>491.97</v>
      </c>
    </row>
    <row r="297" spans="3:12" x14ac:dyDescent="0.35">
      <c r="C297" t="s">
        <v>299</v>
      </c>
      <c r="D297" s="1">
        <v>45381</v>
      </c>
      <c r="E297" s="1" t="str">
        <f>TEXT(Table1[[#This Row],[Date]],"MMM")</f>
        <v>Mar</v>
      </c>
      <c r="F297" s="1" t="str">
        <f>TEXT(Table1[[#This Row],[Date]],"yyyy")</f>
        <v>2024</v>
      </c>
      <c r="G297" t="s">
        <v>312</v>
      </c>
      <c r="H297" t="s">
        <v>315</v>
      </c>
      <c r="I297" t="s">
        <v>319</v>
      </c>
      <c r="J297">
        <v>1226.94</v>
      </c>
      <c r="K297">
        <v>2</v>
      </c>
      <c r="L297">
        <v>467.66</v>
      </c>
    </row>
    <row r="298" spans="3:12" x14ac:dyDescent="0.35">
      <c r="C298" t="s">
        <v>300</v>
      </c>
      <c r="D298" s="1">
        <v>45592</v>
      </c>
      <c r="E298" s="1" t="str">
        <f>TEXT(Table1[[#This Row],[Date]],"MMM")</f>
        <v>Oct</v>
      </c>
      <c r="F298" s="1" t="str">
        <f>TEXT(Table1[[#This Row],[Date]],"yyyy")</f>
        <v>2024</v>
      </c>
      <c r="G298" t="s">
        <v>311</v>
      </c>
      <c r="H298" t="s">
        <v>314</v>
      </c>
      <c r="I298" t="s">
        <v>319</v>
      </c>
      <c r="J298">
        <v>1229.56</v>
      </c>
      <c r="K298">
        <v>5</v>
      </c>
      <c r="L298">
        <v>214.7</v>
      </c>
    </row>
    <row r="299" spans="3:12" x14ac:dyDescent="0.35">
      <c r="C299" t="s">
        <v>301</v>
      </c>
      <c r="D299" s="1">
        <v>45438</v>
      </c>
      <c r="E299" s="1" t="str">
        <f>TEXT(Table1[[#This Row],[Date]],"MMM")</f>
        <v>May</v>
      </c>
      <c r="F299" s="1" t="str">
        <f>TEXT(Table1[[#This Row],[Date]],"yyyy")</f>
        <v>2024</v>
      </c>
      <c r="G299" t="s">
        <v>308</v>
      </c>
      <c r="H299" t="s">
        <v>314</v>
      </c>
      <c r="I299" t="s">
        <v>317</v>
      </c>
      <c r="J299">
        <v>3837.1</v>
      </c>
      <c r="K299">
        <v>9</v>
      </c>
      <c r="L299">
        <v>321.85000000000002</v>
      </c>
    </row>
    <row r="300" spans="3:12" x14ac:dyDescent="0.35">
      <c r="C300" t="s">
        <v>302</v>
      </c>
      <c r="D300" s="1">
        <v>45647</v>
      </c>
      <c r="E300" s="1" t="str">
        <f>TEXT(Table1[[#This Row],[Date]],"MMM")</f>
        <v>Dec</v>
      </c>
      <c r="F300" s="1" t="str">
        <f>TEXT(Table1[[#This Row],[Date]],"yyyy")</f>
        <v>2024</v>
      </c>
      <c r="G300" t="s">
        <v>312</v>
      </c>
      <c r="H300" t="s">
        <v>315</v>
      </c>
      <c r="I300" t="s">
        <v>319</v>
      </c>
      <c r="J300">
        <v>2015.62</v>
      </c>
      <c r="K300">
        <v>8</v>
      </c>
      <c r="L300">
        <v>187.36</v>
      </c>
    </row>
    <row r="301" spans="3:12" x14ac:dyDescent="0.35">
      <c r="C301" t="s">
        <v>303</v>
      </c>
      <c r="D301" s="1">
        <v>45131</v>
      </c>
      <c r="E301" s="1" t="str">
        <f>TEXT(Table1[[#This Row],[Date]],"MMM")</f>
        <v>Jul</v>
      </c>
      <c r="F301" s="1" t="str">
        <f>TEXT(Table1[[#This Row],[Date]],"yyyy")</f>
        <v>2023</v>
      </c>
      <c r="G301" t="s">
        <v>308</v>
      </c>
      <c r="H301" t="s">
        <v>314</v>
      </c>
      <c r="I301" t="s">
        <v>318</v>
      </c>
      <c r="J301">
        <v>284.37</v>
      </c>
      <c r="K301">
        <v>2</v>
      </c>
      <c r="L301">
        <v>125.87</v>
      </c>
    </row>
    <row r="302" spans="3:12" x14ac:dyDescent="0.35">
      <c r="C302" t="s">
        <v>304</v>
      </c>
      <c r="D302" s="1">
        <v>45016</v>
      </c>
      <c r="E302" s="1" t="str">
        <f>TEXT(Table1[[#This Row],[Date]],"MMM")</f>
        <v>Mar</v>
      </c>
      <c r="F302" s="1" t="str">
        <f>TEXT(Table1[[#This Row],[Date]],"yyyy")</f>
        <v>2023</v>
      </c>
      <c r="G302" t="s">
        <v>310</v>
      </c>
      <c r="H302" t="s">
        <v>315</v>
      </c>
      <c r="I302" t="s">
        <v>318</v>
      </c>
      <c r="J302">
        <v>4491.2</v>
      </c>
      <c r="K302">
        <v>6</v>
      </c>
      <c r="L302">
        <v>540.91999999999996</v>
      </c>
    </row>
    <row r="303" spans="3:12" x14ac:dyDescent="0.35">
      <c r="C303" t="s">
        <v>305</v>
      </c>
      <c r="D303" s="1">
        <v>45234</v>
      </c>
      <c r="E303" s="1" t="str">
        <f>TEXT(Table1[[#This Row],[Date]],"MMM")</f>
        <v>Nov</v>
      </c>
      <c r="F303" s="1" t="str">
        <f>TEXT(Table1[[#This Row],[Date]],"yyyy")</f>
        <v>2023</v>
      </c>
      <c r="G303" t="s">
        <v>313</v>
      </c>
      <c r="H303" t="s">
        <v>315</v>
      </c>
      <c r="I303" t="s">
        <v>319</v>
      </c>
      <c r="J303">
        <v>2538.2800000000002</v>
      </c>
      <c r="K303">
        <v>3</v>
      </c>
      <c r="L303">
        <v>575.21</v>
      </c>
    </row>
    <row r="304" spans="3:12" x14ac:dyDescent="0.35">
      <c r="C304" t="s">
        <v>306</v>
      </c>
      <c r="D304" s="1">
        <v>45297</v>
      </c>
      <c r="E304" s="1" t="str">
        <f>TEXT(Table1[[#This Row],[Date]],"MMM")</f>
        <v>Jan</v>
      </c>
      <c r="F304" s="1" t="str">
        <f>TEXT(Table1[[#This Row],[Date]],"yyyy")</f>
        <v>2024</v>
      </c>
      <c r="G304" t="s">
        <v>308</v>
      </c>
      <c r="H304" t="s">
        <v>314</v>
      </c>
      <c r="I304" t="s">
        <v>317</v>
      </c>
      <c r="J304">
        <v>2620.85</v>
      </c>
      <c r="K304">
        <v>9</v>
      </c>
      <c r="L304">
        <v>194.91</v>
      </c>
    </row>
    <row r="305" spans="3:12" x14ac:dyDescent="0.35">
      <c r="C305" t="s">
        <v>307</v>
      </c>
      <c r="D305" s="1">
        <v>45432</v>
      </c>
      <c r="E305" s="1" t="str">
        <f>TEXT(Table1[[#This Row],[Date]],"MMM")</f>
        <v>May</v>
      </c>
      <c r="F305" s="1" t="str">
        <f>TEXT(Table1[[#This Row],[Date]],"yyyy")</f>
        <v>2024</v>
      </c>
      <c r="G305" t="s">
        <v>310</v>
      </c>
      <c r="H305" t="s">
        <v>315</v>
      </c>
      <c r="I305" t="s">
        <v>317</v>
      </c>
      <c r="J305">
        <v>400.67</v>
      </c>
      <c r="K305">
        <v>1</v>
      </c>
      <c r="L305">
        <v>301.5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0DDF-3A54-4BBB-9A46-BDF928CF5630}">
  <dimension ref="B5:N53"/>
  <sheetViews>
    <sheetView workbookViewId="0"/>
  </sheetViews>
  <sheetFormatPr defaultRowHeight="14.5" x14ac:dyDescent="0.35"/>
  <cols>
    <col min="2" max="2" width="12.6328125" bestFit="1" customWidth="1"/>
    <col min="3" max="3" width="11.54296875" bestFit="1" customWidth="1"/>
    <col min="4" max="4" width="14.7265625" bestFit="1" customWidth="1"/>
    <col min="5" max="5" width="14.81640625" bestFit="1" customWidth="1"/>
    <col min="6" max="6" width="12" bestFit="1" customWidth="1"/>
    <col min="7" max="7" width="10.54296875" bestFit="1" customWidth="1"/>
    <col min="11" max="11" width="12.6328125" bestFit="1" customWidth="1"/>
    <col min="12" max="12" width="15.6328125" bestFit="1" customWidth="1"/>
    <col min="13" max="13" width="7.453125" bestFit="1" customWidth="1"/>
    <col min="14" max="14" width="10.7265625" bestFit="1" customWidth="1"/>
  </cols>
  <sheetData>
    <row r="5" spans="2:14" x14ac:dyDescent="0.35">
      <c r="D5" s="10">
        <f ca="1">TODAY()</f>
        <v>46141</v>
      </c>
      <c r="E5" s="11">
        <f ca="1">NOW()</f>
        <v>46141.980009259256</v>
      </c>
    </row>
    <row r="6" spans="2:14" x14ac:dyDescent="0.35">
      <c r="B6" s="3" t="s">
        <v>324</v>
      </c>
      <c r="C6" t="s">
        <v>322</v>
      </c>
      <c r="D6" t="s">
        <v>323</v>
      </c>
      <c r="E6" t="s">
        <v>328</v>
      </c>
      <c r="F6" t="s">
        <v>329</v>
      </c>
      <c r="K6" s="3" t="s">
        <v>322</v>
      </c>
      <c r="L6" s="3" t="s">
        <v>350</v>
      </c>
    </row>
    <row r="7" spans="2:14" x14ac:dyDescent="0.35">
      <c r="B7" s="4" t="s">
        <v>325</v>
      </c>
      <c r="C7" s="5">
        <v>365643.99000000028</v>
      </c>
      <c r="D7" s="5">
        <v>724</v>
      </c>
      <c r="E7" s="5">
        <v>57541.749999999985</v>
      </c>
      <c r="F7" s="5">
        <v>308102.24000000028</v>
      </c>
      <c r="K7" s="3" t="s">
        <v>324</v>
      </c>
      <c r="L7" t="s">
        <v>325</v>
      </c>
      <c r="M7" t="s">
        <v>326</v>
      </c>
      <c r="N7" t="s">
        <v>327</v>
      </c>
    </row>
    <row r="8" spans="2:14" x14ac:dyDescent="0.35">
      <c r="B8" s="4" t="s">
        <v>326</v>
      </c>
      <c r="C8" s="5">
        <v>475604.68999999954</v>
      </c>
      <c r="D8" s="5">
        <v>899</v>
      </c>
      <c r="E8" s="5">
        <v>63978.150000000031</v>
      </c>
      <c r="F8" s="5">
        <v>411626.53999999951</v>
      </c>
      <c r="K8" s="4" t="s">
        <v>351</v>
      </c>
      <c r="L8" s="6">
        <v>109932.46999999999</v>
      </c>
      <c r="M8" s="6">
        <v>110028.64000000001</v>
      </c>
      <c r="N8" s="6">
        <v>219961.11</v>
      </c>
    </row>
    <row r="9" spans="2:14" x14ac:dyDescent="0.35">
      <c r="B9" s="4" t="s">
        <v>327</v>
      </c>
      <c r="C9" s="5">
        <v>841248.67999999982</v>
      </c>
      <c r="D9" s="5">
        <v>1623</v>
      </c>
      <c r="E9" s="5">
        <v>121519.90000000002</v>
      </c>
      <c r="F9" s="5">
        <v>719728.78000000084</v>
      </c>
      <c r="K9" s="4" t="s">
        <v>352</v>
      </c>
      <c r="L9" s="6">
        <v>70357.790000000008</v>
      </c>
      <c r="M9" s="6">
        <v>103062.17000000001</v>
      </c>
      <c r="N9" s="6">
        <v>173419.96000000002</v>
      </c>
    </row>
    <row r="10" spans="2:14" x14ac:dyDescent="0.35">
      <c r="K10" s="4" t="s">
        <v>353</v>
      </c>
      <c r="L10" s="6">
        <v>82404.929999999993</v>
      </c>
      <c r="M10" s="6">
        <v>141176.32000000001</v>
      </c>
      <c r="N10" s="6">
        <v>223581.25</v>
      </c>
    </row>
    <row r="11" spans="2:14" x14ac:dyDescent="0.35">
      <c r="C11" t="s">
        <v>330</v>
      </c>
      <c r="K11" s="4" t="s">
        <v>354</v>
      </c>
      <c r="L11" s="6">
        <v>102948.79999999997</v>
      </c>
      <c r="M11" s="6">
        <v>121337.56</v>
      </c>
      <c r="N11" s="6">
        <v>224286.36</v>
      </c>
    </row>
    <row r="12" spans="2:14" x14ac:dyDescent="0.35">
      <c r="D12" t="s">
        <v>335</v>
      </c>
      <c r="E12" t="s">
        <v>336</v>
      </c>
      <c r="F12" t="s">
        <v>337</v>
      </c>
      <c r="K12" s="4" t="s">
        <v>327</v>
      </c>
      <c r="L12" s="6">
        <v>365643.99</v>
      </c>
      <c r="M12" s="6">
        <v>475604.69</v>
      </c>
      <c r="N12" s="6">
        <v>841248.68</v>
      </c>
    </row>
    <row r="13" spans="2:14" x14ac:dyDescent="0.35">
      <c r="C13" t="s">
        <v>331</v>
      </c>
      <c r="D13" s="6">
        <f>GETPIVOTDATA("Sum of Sales",$B$6,"Year","2024")</f>
        <v>475604.68999999954</v>
      </c>
      <c r="E13" s="6">
        <f>GETPIVOTDATA("Sum of Sales",$B$6,"Year","2023")</f>
        <v>365643.99000000028</v>
      </c>
      <c r="F13" s="7">
        <f>(D13-E13)/E13</f>
        <v>0.30073159413887585</v>
      </c>
      <c r="G13" t="str">
        <f>IF(F13&gt;=0,"▲","▼")&amp;TEXT(ABS(F13),"0%")&amp; "VS LY"</f>
        <v>▲30%VS LY</v>
      </c>
    </row>
    <row r="14" spans="2:14" x14ac:dyDescent="0.35">
      <c r="C14" t="s">
        <v>332</v>
      </c>
      <c r="D14" s="6">
        <f>GETPIVOTDATA("Sum of Quantity",$B$6,"Year","2024")</f>
        <v>899</v>
      </c>
      <c r="E14" s="6">
        <f>GETPIVOTDATA("Sum of Quantity",$B$6,"Year","2023")</f>
        <v>724</v>
      </c>
      <c r="F14" s="7">
        <f t="shared" ref="F14:F16" si="0">(D14-E14)/E14</f>
        <v>0.24171270718232044</v>
      </c>
      <c r="G14" t="str">
        <f t="shared" ref="G14:G16" si="1">IF(F14&gt;=0,"▲","▼")&amp;TEXT(ABS(F14),"0%")&amp;"VS LY"</f>
        <v>▲24%VS LY</v>
      </c>
    </row>
    <row r="15" spans="2:14" x14ac:dyDescent="0.35">
      <c r="C15" t="s">
        <v>333</v>
      </c>
      <c r="D15" s="6">
        <f>GETPIVOTDATA("Sum of Cost",$B$6,"Year","2024")</f>
        <v>63978.150000000031</v>
      </c>
      <c r="E15" s="6">
        <f>GETPIVOTDATA("Sum of Cost",$B$6,"Year","2023")</f>
        <v>57541.749999999985</v>
      </c>
      <c r="F15" s="7">
        <f t="shared" si="0"/>
        <v>0.11185617399540415</v>
      </c>
      <c r="G15" t="str">
        <f t="shared" si="1"/>
        <v>▲11%VS LY</v>
      </c>
      <c r="K15" s="3" t="s">
        <v>323</v>
      </c>
      <c r="L15" s="3" t="s">
        <v>350</v>
      </c>
    </row>
    <row r="16" spans="2:14" x14ac:dyDescent="0.35">
      <c r="C16" t="s">
        <v>334</v>
      </c>
      <c r="D16" s="6">
        <f>GETPIVOTDATA("Sum of Profit",$B$6,"Year","2024")</f>
        <v>411626.53999999951</v>
      </c>
      <c r="E16" s="6">
        <f>GETPIVOTDATA("Sum of Profit",$B$6,"Year","2023")</f>
        <v>308102.24000000028</v>
      </c>
      <c r="F16" s="7">
        <f t="shared" si="0"/>
        <v>0.33600632049932233</v>
      </c>
      <c r="G16" t="str">
        <f t="shared" si="1"/>
        <v>▲34%VS LY</v>
      </c>
      <c r="K16" s="3" t="s">
        <v>324</v>
      </c>
      <c r="L16" t="s">
        <v>325</v>
      </c>
      <c r="M16" t="s">
        <v>326</v>
      </c>
      <c r="N16" t="s">
        <v>327</v>
      </c>
    </row>
    <row r="17" spans="2:14" x14ac:dyDescent="0.35">
      <c r="K17" s="4" t="s">
        <v>351</v>
      </c>
      <c r="L17" s="6">
        <v>202</v>
      </c>
      <c r="M17" s="6">
        <v>216</v>
      </c>
      <c r="N17" s="6">
        <v>418</v>
      </c>
    </row>
    <row r="18" spans="2:14" x14ac:dyDescent="0.35">
      <c r="K18" s="4" t="s">
        <v>352</v>
      </c>
      <c r="L18" s="6">
        <v>174</v>
      </c>
      <c r="M18" s="6">
        <v>189</v>
      </c>
      <c r="N18" s="6">
        <v>363</v>
      </c>
    </row>
    <row r="19" spans="2:14" x14ac:dyDescent="0.35">
      <c r="B19" s="3" t="s">
        <v>322</v>
      </c>
      <c r="C19" s="3" t="s">
        <v>350</v>
      </c>
      <c r="K19" s="4" t="s">
        <v>353</v>
      </c>
      <c r="L19" s="6">
        <v>146</v>
      </c>
      <c r="M19" s="6">
        <v>252</v>
      </c>
      <c r="N19" s="6">
        <v>398</v>
      </c>
    </row>
    <row r="20" spans="2:14" x14ac:dyDescent="0.35">
      <c r="B20" s="3" t="s">
        <v>324</v>
      </c>
      <c r="C20" s="6" t="s">
        <v>325</v>
      </c>
      <c r="D20" s="6" t="s">
        <v>326</v>
      </c>
      <c r="E20" s="6" t="s">
        <v>327</v>
      </c>
      <c r="K20" s="4" t="s">
        <v>354</v>
      </c>
      <c r="L20" s="6">
        <v>202</v>
      </c>
      <c r="M20" s="6">
        <v>242</v>
      </c>
      <c r="N20" s="6">
        <v>444</v>
      </c>
    </row>
    <row r="21" spans="2:14" x14ac:dyDescent="0.35">
      <c r="B21" s="4" t="s">
        <v>338</v>
      </c>
      <c r="C21" s="9">
        <v>29902.450000000004</v>
      </c>
      <c r="D21" s="9">
        <v>35755.53</v>
      </c>
      <c r="E21" s="9">
        <v>65657.98000000001</v>
      </c>
      <c r="K21" s="4" t="s">
        <v>327</v>
      </c>
      <c r="L21" s="6">
        <v>724</v>
      </c>
      <c r="M21" s="6">
        <v>899</v>
      </c>
      <c r="N21" s="6">
        <v>1623</v>
      </c>
    </row>
    <row r="22" spans="2:14" x14ac:dyDescent="0.35">
      <c r="B22" s="4" t="s">
        <v>339</v>
      </c>
      <c r="C22" s="9">
        <v>27457.3</v>
      </c>
      <c r="D22" s="9">
        <v>38638.26</v>
      </c>
      <c r="E22" s="9">
        <v>66095.56</v>
      </c>
    </row>
    <row r="23" spans="2:14" x14ac:dyDescent="0.35">
      <c r="B23" s="4" t="s">
        <v>340</v>
      </c>
      <c r="C23" s="9">
        <v>52572.72</v>
      </c>
      <c r="D23" s="9">
        <v>35634.850000000006</v>
      </c>
      <c r="E23" s="9">
        <v>88207.57</v>
      </c>
    </row>
    <row r="24" spans="2:14" x14ac:dyDescent="0.35">
      <c r="B24" s="4" t="s">
        <v>341</v>
      </c>
      <c r="C24" s="9">
        <v>36742.660000000003</v>
      </c>
      <c r="D24" s="9">
        <v>58242.11</v>
      </c>
      <c r="E24" s="9">
        <v>94984.77</v>
      </c>
      <c r="K24" s="3" t="s">
        <v>328</v>
      </c>
      <c r="L24" s="3" t="s">
        <v>350</v>
      </c>
    </row>
    <row r="25" spans="2:14" x14ac:dyDescent="0.35">
      <c r="B25" s="4" t="s">
        <v>342</v>
      </c>
      <c r="C25" s="9">
        <v>7677.8000000000011</v>
      </c>
      <c r="D25" s="9">
        <v>11831.57</v>
      </c>
      <c r="E25" s="9">
        <v>19509.370000000003</v>
      </c>
      <c r="K25" s="3" t="s">
        <v>324</v>
      </c>
      <c r="L25" t="s">
        <v>325</v>
      </c>
      <c r="M25" t="s">
        <v>326</v>
      </c>
      <c r="N25" t="s">
        <v>327</v>
      </c>
    </row>
    <row r="26" spans="2:14" x14ac:dyDescent="0.35">
      <c r="B26" s="4" t="s">
        <v>343</v>
      </c>
      <c r="C26" s="9">
        <v>25937.33</v>
      </c>
      <c r="D26" s="9">
        <v>32988.49</v>
      </c>
      <c r="E26" s="9">
        <v>58925.82</v>
      </c>
      <c r="K26" s="4" t="s">
        <v>351</v>
      </c>
      <c r="L26" s="6">
        <v>14858.35</v>
      </c>
      <c r="M26" s="6">
        <v>14980.41</v>
      </c>
      <c r="N26" s="6">
        <v>29838.760000000002</v>
      </c>
    </row>
    <row r="27" spans="2:14" x14ac:dyDescent="0.35">
      <c r="B27" s="4" t="s">
        <v>344</v>
      </c>
      <c r="C27" s="9">
        <v>7336.46</v>
      </c>
      <c r="D27" s="9">
        <v>53865.369999999988</v>
      </c>
      <c r="E27" s="9">
        <v>61201.829999999987</v>
      </c>
      <c r="K27" s="4" t="s">
        <v>352</v>
      </c>
      <c r="L27" s="6">
        <v>11681.549999999996</v>
      </c>
      <c r="M27" s="6">
        <v>12698.280000000002</v>
      </c>
      <c r="N27" s="6">
        <v>24379.829999999998</v>
      </c>
    </row>
    <row r="28" spans="2:14" x14ac:dyDescent="0.35">
      <c r="B28" s="4" t="s">
        <v>345</v>
      </c>
      <c r="C28" s="9">
        <v>44929.069999999992</v>
      </c>
      <c r="D28" s="9">
        <v>28180.969999999998</v>
      </c>
      <c r="E28" s="9">
        <v>73110.039999999994</v>
      </c>
      <c r="K28" s="4" t="s">
        <v>353</v>
      </c>
      <c r="L28" s="6">
        <v>15455.970000000003</v>
      </c>
      <c r="M28" s="6">
        <v>19318.900000000001</v>
      </c>
      <c r="N28" s="6">
        <v>34774.870000000003</v>
      </c>
    </row>
    <row r="29" spans="2:14" x14ac:dyDescent="0.35">
      <c r="B29" s="4" t="s">
        <v>346</v>
      </c>
      <c r="C29" s="9">
        <v>30139.4</v>
      </c>
      <c r="D29" s="9">
        <v>59129.979999999996</v>
      </c>
      <c r="E29" s="9">
        <v>89269.38</v>
      </c>
      <c r="K29" s="4" t="s">
        <v>354</v>
      </c>
      <c r="L29" s="6">
        <v>15545.880000000001</v>
      </c>
      <c r="M29" s="6">
        <v>16980.560000000001</v>
      </c>
      <c r="N29" s="6">
        <v>32526.440000000002</v>
      </c>
    </row>
    <row r="30" spans="2:14" x14ac:dyDescent="0.35">
      <c r="B30" s="4" t="s">
        <v>347</v>
      </c>
      <c r="C30" s="9">
        <v>40537.450000000004</v>
      </c>
      <c r="D30" s="9">
        <v>50680.210000000006</v>
      </c>
      <c r="E30" s="9">
        <v>91217.66</v>
      </c>
      <c r="K30" s="4" t="s">
        <v>327</v>
      </c>
      <c r="L30" s="6">
        <v>57541.75</v>
      </c>
      <c r="M30" s="6">
        <v>63978.150000000009</v>
      </c>
      <c r="N30" s="6">
        <v>121519.9</v>
      </c>
    </row>
    <row r="31" spans="2:14" x14ac:dyDescent="0.35">
      <c r="B31" s="4" t="s">
        <v>348</v>
      </c>
      <c r="C31" s="9">
        <v>41939.229999999996</v>
      </c>
      <c r="D31" s="9">
        <v>48022.19</v>
      </c>
      <c r="E31" s="9">
        <v>89961.42</v>
      </c>
    </row>
    <row r="32" spans="2:14" x14ac:dyDescent="0.35">
      <c r="B32" s="4" t="s">
        <v>349</v>
      </c>
      <c r="C32" s="9">
        <v>20472.120000000003</v>
      </c>
      <c r="D32" s="9">
        <v>22635.16</v>
      </c>
      <c r="E32" s="9">
        <v>43107.28</v>
      </c>
    </row>
    <row r="33" spans="2:14" x14ac:dyDescent="0.35">
      <c r="B33" s="4" t="s">
        <v>327</v>
      </c>
      <c r="C33" s="9">
        <v>365643.99</v>
      </c>
      <c r="D33" s="9">
        <v>475604.68999999994</v>
      </c>
      <c r="E33" s="9">
        <v>841248.68000000017</v>
      </c>
      <c r="K33" s="3" t="s">
        <v>329</v>
      </c>
      <c r="L33" s="3" t="s">
        <v>350</v>
      </c>
    </row>
    <row r="34" spans="2:14" x14ac:dyDescent="0.35">
      <c r="K34" s="3" t="s">
        <v>324</v>
      </c>
      <c r="L34" t="s">
        <v>325</v>
      </c>
      <c r="M34" t="s">
        <v>326</v>
      </c>
      <c r="N34" t="s">
        <v>327</v>
      </c>
    </row>
    <row r="35" spans="2:14" x14ac:dyDescent="0.35">
      <c r="B35" s="3" t="s">
        <v>322</v>
      </c>
      <c r="C35" s="3" t="s">
        <v>350</v>
      </c>
      <c r="K35" s="4" t="s">
        <v>351</v>
      </c>
      <c r="L35" s="6">
        <v>95074.119999999981</v>
      </c>
      <c r="M35" s="6">
        <v>95048.23000000001</v>
      </c>
      <c r="N35" s="6">
        <v>190122.34999999998</v>
      </c>
    </row>
    <row r="36" spans="2:14" x14ac:dyDescent="0.35">
      <c r="B36" s="3" t="s">
        <v>324</v>
      </c>
      <c r="C36" t="s">
        <v>325</v>
      </c>
      <c r="D36" t="s">
        <v>326</v>
      </c>
      <c r="E36" t="s">
        <v>327</v>
      </c>
      <c r="K36" s="4" t="s">
        <v>352</v>
      </c>
      <c r="L36" s="6">
        <v>58676.240000000013</v>
      </c>
      <c r="M36" s="6">
        <v>90363.890000000014</v>
      </c>
      <c r="N36" s="6">
        <v>149040.13</v>
      </c>
    </row>
    <row r="37" spans="2:14" x14ac:dyDescent="0.35">
      <c r="B37" s="4" t="s">
        <v>313</v>
      </c>
      <c r="C37" s="9">
        <v>83732.830000000016</v>
      </c>
      <c r="D37" s="9">
        <v>81620.740000000005</v>
      </c>
      <c r="E37" s="9">
        <v>165353.57</v>
      </c>
      <c r="K37" s="4" t="s">
        <v>353</v>
      </c>
      <c r="L37" s="6">
        <v>66948.959999999992</v>
      </c>
      <c r="M37" s="6">
        <v>121857.42000000001</v>
      </c>
      <c r="N37" s="6">
        <v>188806.37999999995</v>
      </c>
    </row>
    <row r="38" spans="2:14" x14ac:dyDescent="0.35">
      <c r="B38" s="4" t="s">
        <v>312</v>
      </c>
      <c r="C38" s="9">
        <v>87038.010000000009</v>
      </c>
      <c r="D38" s="9">
        <v>55919.660000000018</v>
      </c>
      <c r="E38" s="9">
        <v>142957.67000000004</v>
      </c>
      <c r="K38" s="4" t="s">
        <v>354</v>
      </c>
      <c r="L38" s="6">
        <v>87402.919999999969</v>
      </c>
      <c r="M38" s="6">
        <v>104357</v>
      </c>
      <c r="N38" s="6">
        <v>191759.91999999995</v>
      </c>
    </row>
    <row r="39" spans="2:14" x14ac:dyDescent="0.35">
      <c r="B39" s="4" t="s">
        <v>309</v>
      </c>
      <c r="C39" s="9">
        <v>63549.779999999984</v>
      </c>
      <c r="D39" s="9">
        <v>64330.260000000024</v>
      </c>
      <c r="E39" s="9">
        <v>127880.04000000001</v>
      </c>
      <c r="K39" s="4" t="s">
        <v>327</v>
      </c>
      <c r="L39" s="6">
        <v>308102.24000000011</v>
      </c>
      <c r="M39" s="6">
        <v>411626.53999999975</v>
      </c>
      <c r="N39" s="6">
        <v>719728.7799999998</v>
      </c>
    </row>
    <row r="40" spans="2:14" x14ac:dyDescent="0.35">
      <c r="B40" s="4" t="s">
        <v>311</v>
      </c>
      <c r="C40" s="9">
        <v>37447.310000000005</v>
      </c>
      <c r="D40" s="9">
        <v>109494.29000000001</v>
      </c>
      <c r="E40" s="9">
        <v>146941.6</v>
      </c>
    </row>
    <row r="41" spans="2:14" x14ac:dyDescent="0.35">
      <c r="B41" s="4" t="s">
        <v>310</v>
      </c>
      <c r="C41" s="9">
        <v>42008.6</v>
      </c>
      <c r="D41" s="9">
        <v>105919.48000000004</v>
      </c>
      <c r="E41" s="9">
        <v>147928.08000000005</v>
      </c>
    </row>
    <row r="42" spans="2:14" x14ac:dyDescent="0.35">
      <c r="B42" s="4" t="s">
        <v>308</v>
      </c>
      <c r="C42" s="9">
        <v>51867.46</v>
      </c>
      <c r="D42" s="9">
        <v>58320.259999999995</v>
      </c>
      <c r="E42" s="9">
        <v>110187.72</v>
      </c>
    </row>
    <row r="43" spans="2:14" x14ac:dyDescent="0.35">
      <c r="B43" s="4" t="s">
        <v>327</v>
      </c>
      <c r="C43" s="9">
        <v>365643.99</v>
      </c>
      <c r="D43" s="9">
        <v>475604.69000000012</v>
      </c>
      <c r="E43" s="9">
        <v>841248.68</v>
      </c>
    </row>
    <row r="47" spans="2:14" x14ac:dyDescent="0.35">
      <c r="B47" s="3" t="s">
        <v>322</v>
      </c>
      <c r="C47" s="3" t="s">
        <v>350</v>
      </c>
    </row>
    <row r="48" spans="2:14" x14ac:dyDescent="0.35">
      <c r="B48" s="3" t="s">
        <v>324</v>
      </c>
      <c r="C48" t="s">
        <v>325</v>
      </c>
      <c r="D48" t="s">
        <v>326</v>
      </c>
      <c r="E48" t="s">
        <v>327</v>
      </c>
    </row>
    <row r="49" spans="2:5" x14ac:dyDescent="0.35">
      <c r="B49" s="4" t="s">
        <v>316</v>
      </c>
      <c r="C49" s="6">
        <v>61994.55999999999</v>
      </c>
      <c r="D49" s="6">
        <v>121472.34000000003</v>
      </c>
      <c r="E49" s="6">
        <v>183466.90000000002</v>
      </c>
    </row>
    <row r="50" spans="2:5" x14ac:dyDescent="0.35">
      <c r="B50" s="4" t="s">
        <v>319</v>
      </c>
      <c r="C50" s="6">
        <v>88852.969999999987</v>
      </c>
      <c r="D50" s="6">
        <v>93410.199999999968</v>
      </c>
      <c r="E50" s="6">
        <v>182263.16999999995</v>
      </c>
    </row>
    <row r="51" spans="2:5" x14ac:dyDescent="0.35">
      <c r="B51" s="4" t="s">
        <v>318</v>
      </c>
      <c r="C51" s="6">
        <v>123927.84999999996</v>
      </c>
      <c r="D51" s="6">
        <v>145397.91999999998</v>
      </c>
      <c r="E51" s="6">
        <v>269325.76999999996</v>
      </c>
    </row>
    <row r="52" spans="2:5" x14ac:dyDescent="0.35">
      <c r="B52" s="4" t="s">
        <v>317</v>
      </c>
      <c r="C52" s="6">
        <v>90868.61</v>
      </c>
      <c r="D52" s="6">
        <v>115324.23000000001</v>
      </c>
      <c r="E52" s="6">
        <v>206192.84000000003</v>
      </c>
    </row>
    <row r="53" spans="2:5" x14ac:dyDescent="0.35">
      <c r="B53" s="4" t="s">
        <v>327</v>
      </c>
      <c r="C53" s="6">
        <v>365643.98999999993</v>
      </c>
      <c r="D53" s="6">
        <v>475604.68999999994</v>
      </c>
      <c r="E53" s="6">
        <v>841248.67999999993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93695-D815-410D-AFA4-0847FB6F7DE6}">
  <dimension ref="A1"/>
  <sheetViews>
    <sheetView showGridLines="0" tabSelected="1" zoomScale="80" zoomScaleNormal="80" zoomScaleSheetLayoutView="90" workbookViewId="0">
      <selection activeCell="C12" sqref="C12"/>
    </sheetView>
  </sheetViews>
  <sheetFormatPr defaultRowHeight="14.5" x14ac:dyDescent="0.35"/>
  <cols>
    <col min="1" max="16384" width="8.7265625" style="8"/>
  </cols>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Igana</dc:creator>
  <cp:lastModifiedBy>Brian Igana</cp:lastModifiedBy>
  <dcterms:created xsi:type="dcterms:W3CDTF">2025-06-03T10:06:35Z</dcterms:created>
  <dcterms:modified xsi:type="dcterms:W3CDTF">2026-04-29T20:31:34Z</dcterms:modified>
</cp:coreProperties>
</file>